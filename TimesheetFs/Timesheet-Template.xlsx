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Perso\Taggl\TimesheetFs\"/>
    </mc:Choice>
  </mc:AlternateContent>
  <xr:revisionPtr revIDLastSave="0" documentId="13_ncr:1_{D4C38609-60A1-45FF-88A3-404ACEE9A6B2}" xr6:coauthVersionLast="47" xr6:coauthVersionMax="47" xr10:uidLastSave="{00000000-0000-0000-0000-000000000000}"/>
  <bookViews>
    <workbookView xWindow="-120" yWindow="-120" windowWidth="38640" windowHeight="21120" xr2:uid="{FB794F17-9F1B-438B-B219-D10D95E788D4}"/>
  </bookViews>
  <sheets>
    <sheet name="Configuration" sheetId="5" r:id="rId1"/>
    <sheet name="Prestations" sheetId="1" r:id="rId2"/>
    <sheet name="Résumé imprimable" sheetId="3" r:id="rId3"/>
    <sheet name="Reporting" sheetId="4" r:id="rId4"/>
    <sheet name="Codes projet" sheetId="2" r:id="rId5"/>
  </sheets>
  <definedNames>
    <definedName name="_xlnm.Print_Area" localSheetId="2">'Résumé imprimable'!$B$2:$K$47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E30" i="4"/>
  <c r="E46" i="4"/>
  <c r="E62" i="4"/>
  <c r="E78" i="4"/>
  <c r="E94" i="4"/>
  <c r="E110" i="4"/>
  <c r="F32" i="4"/>
  <c r="F48" i="4"/>
  <c r="F64" i="4"/>
  <c r="F80" i="4"/>
  <c r="F96" i="4"/>
  <c r="F112" i="4"/>
  <c r="F125" i="4"/>
  <c r="G16" i="4"/>
  <c r="K14" i="4"/>
  <c r="L14" i="4" s="1"/>
  <c r="G14" i="4" s="1"/>
  <c r="K15" i="4"/>
  <c r="L15" i="4" s="1"/>
  <c r="K16" i="4"/>
  <c r="L16" i="4" s="1"/>
  <c r="E16" i="4" s="1"/>
  <c r="K17" i="4"/>
  <c r="L17" i="4" s="1"/>
  <c r="K18" i="4"/>
  <c r="L18" i="4" s="1"/>
  <c r="G18" i="4" s="1"/>
  <c r="K19" i="4"/>
  <c r="L19" i="4" s="1"/>
  <c r="K20" i="4"/>
  <c r="L20" i="4" s="1"/>
  <c r="E20" i="4" s="1"/>
  <c r="K21" i="4"/>
  <c r="L21" i="4" s="1"/>
  <c r="K22" i="4"/>
  <c r="L22" i="4" s="1"/>
  <c r="G22" i="4" s="1"/>
  <c r="K23" i="4"/>
  <c r="L23" i="4" s="1"/>
  <c r="K24" i="4"/>
  <c r="L24" i="4" s="1"/>
  <c r="G24" i="4" s="1"/>
  <c r="K25" i="4"/>
  <c r="L25" i="4"/>
  <c r="G25" i="4" s="1"/>
  <c r="K26" i="4"/>
  <c r="L26" i="4" s="1"/>
  <c r="G26" i="4" s="1"/>
  <c r="K27" i="4"/>
  <c r="L27" i="4"/>
  <c r="G27" i="4" s="1"/>
  <c r="K28" i="4"/>
  <c r="L28" i="4" s="1"/>
  <c r="G28" i="4" s="1"/>
  <c r="K29" i="4"/>
  <c r="L29" i="4" s="1"/>
  <c r="K30" i="4"/>
  <c r="L30" i="4" s="1"/>
  <c r="G30" i="4" s="1"/>
  <c r="K31" i="4"/>
  <c r="L31" i="4" s="1"/>
  <c r="K32" i="4"/>
  <c r="L32" i="4" s="1"/>
  <c r="E32" i="4" s="1"/>
  <c r="K33" i="4"/>
  <c r="L33" i="4" s="1"/>
  <c r="K34" i="4"/>
  <c r="L34" i="4" s="1"/>
  <c r="F34" i="4" s="1"/>
  <c r="K35" i="4"/>
  <c r="L35" i="4"/>
  <c r="G35" i="4" s="1"/>
  <c r="K36" i="4"/>
  <c r="L36" i="4" s="1"/>
  <c r="G36" i="4" s="1"/>
  <c r="K37" i="4"/>
  <c r="L37" i="4" s="1"/>
  <c r="K38" i="4"/>
  <c r="L38" i="4" s="1"/>
  <c r="G38" i="4" s="1"/>
  <c r="K39" i="4"/>
  <c r="L39" i="4" s="1"/>
  <c r="K40" i="4"/>
  <c r="L40" i="4" s="1"/>
  <c r="G40" i="4" s="1"/>
  <c r="K41" i="4"/>
  <c r="L41" i="4"/>
  <c r="G41" i="4" s="1"/>
  <c r="K42" i="4"/>
  <c r="L42" i="4" s="1"/>
  <c r="G42" i="4" s="1"/>
  <c r="K43" i="4"/>
  <c r="L43" i="4" s="1"/>
  <c r="K44" i="4"/>
  <c r="L44" i="4" s="1"/>
  <c r="G44" i="4" s="1"/>
  <c r="K45" i="4"/>
  <c r="L45" i="4" s="1"/>
  <c r="K46" i="4"/>
  <c r="L46" i="4" s="1"/>
  <c r="G46" i="4" s="1"/>
  <c r="K47" i="4"/>
  <c r="L47" i="4" s="1"/>
  <c r="K48" i="4"/>
  <c r="L48" i="4" s="1"/>
  <c r="E48" i="4" s="1"/>
  <c r="K49" i="4"/>
  <c r="L49" i="4" s="1"/>
  <c r="K50" i="4"/>
  <c r="L50" i="4" s="1"/>
  <c r="F50" i="4" s="1"/>
  <c r="K51" i="4"/>
  <c r="L51" i="4" s="1"/>
  <c r="K52" i="4"/>
  <c r="L52" i="4" s="1"/>
  <c r="G52" i="4" s="1"/>
  <c r="K53" i="4"/>
  <c r="L53" i="4"/>
  <c r="G53" i="4" s="1"/>
  <c r="K54" i="4"/>
  <c r="L54" i="4" s="1"/>
  <c r="G54" i="4" s="1"/>
  <c r="K55" i="4"/>
  <c r="L55" i="4" s="1"/>
  <c r="K56" i="4"/>
  <c r="L56" i="4" s="1"/>
  <c r="G56" i="4" s="1"/>
  <c r="K57" i="4"/>
  <c r="L57" i="4"/>
  <c r="G57" i="4" s="1"/>
  <c r="K58" i="4"/>
  <c r="L58" i="4" s="1"/>
  <c r="G58" i="4" s="1"/>
  <c r="K59" i="4"/>
  <c r="L59" i="4"/>
  <c r="G59" i="4" s="1"/>
  <c r="K60" i="4"/>
  <c r="L60" i="4" s="1"/>
  <c r="G60" i="4" s="1"/>
  <c r="K61" i="4"/>
  <c r="L61" i="4" s="1"/>
  <c r="K62" i="4"/>
  <c r="L62" i="4" s="1"/>
  <c r="G62" i="4" s="1"/>
  <c r="K63" i="4"/>
  <c r="L63" i="4" s="1"/>
  <c r="K64" i="4"/>
  <c r="L64" i="4" s="1"/>
  <c r="E64" i="4" s="1"/>
  <c r="K65" i="4"/>
  <c r="L65" i="4" s="1"/>
  <c r="K66" i="4"/>
  <c r="L66" i="4" s="1"/>
  <c r="F66" i="4" s="1"/>
  <c r="K67" i="4"/>
  <c r="L67" i="4"/>
  <c r="G67" i="4" s="1"/>
  <c r="K68" i="4"/>
  <c r="L68" i="4" s="1"/>
  <c r="G68" i="4" s="1"/>
  <c r="K69" i="4"/>
  <c r="L69" i="4" s="1"/>
  <c r="K70" i="4"/>
  <c r="L70" i="4" s="1"/>
  <c r="G70" i="4" s="1"/>
  <c r="K71" i="4"/>
  <c r="L71" i="4" s="1"/>
  <c r="K72" i="4"/>
  <c r="L72" i="4" s="1"/>
  <c r="G72" i="4" s="1"/>
  <c r="K73" i="4"/>
  <c r="L73" i="4"/>
  <c r="G73" i="4" s="1"/>
  <c r="K74" i="4"/>
  <c r="L74" i="4" s="1"/>
  <c r="G74" i="4" s="1"/>
  <c r="K75" i="4"/>
  <c r="L75" i="4" s="1"/>
  <c r="K76" i="4"/>
  <c r="L76" i="4" s="1"/>
  <c r="G76" i="4" s="1"/>
  <c r="K77" i="4"/>
  <c r="L77" i="4" s="1"/>
  <c r="K78" i="4"/>
  <c r="L78" i="4" s="1"/>
  <c r="G78" i="4" s="1"/>
  <c r="K79" i="4"/>
  <c r="L79" i="4" s="1"/>
  <c r="K80" i="4"/>
  <c r="L80" i="4" s="1"/>
  <c r="E80" i="4" s="1"/>
  <c r="K81" i="4"/>
  <c r="L81" i="4" s="1"/>
  <c r="K82" i="4"/>
  <c r="L82" i="4" s="1"/>
  <c r="F82" i="4" s="1"/>
  <c r="K83" i="4"/>
  <c r="L83" i="4" s="1"/>
  <c r="K84" i="4"/>
  <c r="L84" i="4" s="1"/>
  <c r="G84" i="4" s="1"/>
  <c r="K85" i="4"/>
  <c r="L85" i="4"/>
  <c r="G85" i="4" s="1"/>
  <c r="K86" i="4"/>
  <c r="L86" i="4" s="1"/>
  <c r="G86" i="4" s="1"/>
  <c r="K87" i="4"/>
  <c r="L87" i="4" s="1"/>
  <c r="K88" i="4"/>
  <c r="L88" i="4" s="1"/>
  <c r="G88" i="4" s="1"/>
  <c r="K89" i="4"/>
  <c r="L89" i="4"/>
  <c r="G89" i="4" s="1"/>
  <c r="K90" i="4"/>
  <c r="L90" i="4" s="1"/>
  <c r="G90" i="4" s="1"/>
  <c r="K91" i="4"/>
  <c r="L91" i="4"/>
  <c r="G91" i="4" s="1"/>
  <c r="K92" i="4"/>
  <c r="L92" i="4" s="1"/>
  <c r="G92" i="4" s="1"/>
  <c r="K93" i="4"/>
  <c r="L93" i="4" s="1"/>
  <c r="K94" i="4"/>
  <c r="L94" i="4" s="1"/>
  <c r="G94" i="4" s="1"/>
  <c r="K95" i="4"/>
  <c r="L95" i="4" s="1"/>
  <c r="K96" i="4"/>
  <c r="L96" i="4" s="1"/>
  <c r="E96" i="4" s="1"/>
  <c r="K97" i="4"/>
  <c r="L97" i="4" s="1"/>
  <c r="K98" i="4"/>
  <c r="L98" i="4" s="1"/>
  <c r="F98" i="4" s="1"/>
  <c r="K99" i="4"/>
  <c r="L99" i="4"/>
  <c r="G99" i="4" s="1"/>
  <c r="K100" i="4"/>
  <c r="L100" i="4" s="1"/>
  <c r="G100" i="4" s="1"/>
  <c r="K101" i="4"/>
  <c r="L101" i="4" s="1"/>
  <c r="K102" i="4"/>
  <c r="L102" i="4" s="1"/>
  <c r="G102" i="4" s="1"/>
  <c r="K103" i="4"/>
  <c r="L103" i="4" s="1"/>
  <c r="K104" i="4"/>
  <c r="L104" i="4" s="1"/>
  <c r="G104" i="4" s="1"/>
  <c r="K105" i="4"/>
  <c r="L105" i="4"/>
  <c r="G105" i="4" s="1"/>
  <c r="K106" i="4"/>
  <c r="L106" i="4" s="1"/>
  <c r="G106" i="4" s="1"/>
  <c r="K107" i="4"/>
  <c r="L107" i="4" s="1"/>
  <c r="K108" i="4"/>
  <c r="L108" i="4" s="1"/>
  <c r="G108" i="4" s="1"/>
  <c r="K109" i="4"/>
  <c r="L109" i="4" s="1"/>
  <c r="K110" i="4"/>
  <c r="L110" i="4" s="1"/>
  <c r="G110" i="4" s="1"/>
  <c r="K111" i="4"/>
  <c r="L111" i="4" s="1"/>
  <c r="K112" i="4"/>
  <c r="L112" i="4" s="1"/>
  <c r="E112" i="4" s="1"/>
  <c r="K113" i="4"/>
  <c r="L113" i="4" s="1"/>
  <c r="K114" i="4"/>
  <c r="L114" i="4" s="1"/>
  <c r="F114" i="4" s="1"/>
  <c r="K115" i="4"/>
  <c r="L115" i="4" s="1"/>
  <c r="K116" i="4"/>
  <c r="L116" i="4" s="1"/>
  <c r="G116" i="4" s="1"/>
  <c r="K117" i="4"/>
  <c r="L117" i="4"/>
  <c r="G117" i="4" s="1"/>
  <c r="K118" i="4"/>
  <c r="L118" i="4" s="1"/>
  <c r="G118" i="4" s="1"/>
  <c r="K119" i="4"/>
  <c r="L119" i="4" s="1"/>
  <c r="K120" i="4"/>
  <c r="L120" i="4" s="1"/>
  <c r="G120" i="4" s="1"/>
  <c r="K121" i="4"/>
  <c r="L121" i="4" s="1"/>
  <c r="K122" i="4"/>
  <c r="L122" i="4" s="1"/>
  <c r="G122" i="4" s="1"/>
  <c r="K123" i="4"/>
  <c r="L123" i="4"/>
  <c r="G123" i="4" s="1"/>
  <c r="K124" i="4"/>
  <c r="L124" i="4" s="1"/>
  <c r="G124" i="4" s="1"/>
  <c r="K13" i="4"/>
  <c r="L13" i="4" s="1"/>
  <c r="E15" i="4" l="1"/>
  <c r="F15" i="4"/>
  <c r="G15" i="4"/>
  <c r="E97" i="4"/>
  <c r="G97" i="4"/>
  <c r="F97" i="4"/>
  <c r="G55" i="4"/>
  <c r="F55" i="4"/>
  <c r="E55" i="4"/>
  <c r="E113" i="4"/>
  <c r="G113" i="4"/>
  <c r="F113" i="4"/>
  <c r="G109" i="4"/>
  <c r="F109" i="4"/>
  <c r="E109" i="4"/>
  <c r="G83" i="4"/>
  <c r="F83" i="4"/>
  <c r="E83" i="4"/>
  <c r="G95" i="4"/>
  <c r="F95" i="4"/>
  <c r="E95" i="4"/>
  <c r="G93" i="4"/>
  <c r="F93" i="4"/>
  <c r="E93" i="4"/>
  <c r="G79" i="4"/>
  <c r="F79" i="4"/>
  <c r="E79" i="4"/>
  <c r="E65" i="4"/>
  <c r="G65" i="4"/>
  <c r="F65" i="4"/>
  <c r="G37" i="4"/>
  <c r="F37" i="4"/>
  <c r="E37" i="4"/>
  <c r="G39" i="4"/>
  <c r="F39" i="4"/>
  <c r="E39" i="4"/>
  <c r="G121" i="4"/>
  <c r="F121" i="4"/>
  <c r="E121" i="4"/>
  <c r="G51" i="4"/>
  <c r="F51" i="4"/>
  <c r="E51" i="4"/>
  <c r="G23" i="4"/>
  <c r="F23" i="4"/>
  <c r="E23" i="4"/>
  <c r="G69" i="4"/>
  <c r="F69" i="4"/>
  <c r="E69" i="4"/>
  <c r="E81" i="4"/>
  <c r="G81" i="4"/>
  <c r="F81" i="4"/>
  <c r="G119" i="4"/>
  <c r="F119" i="4"/>
  <c r="E119" i="4"/>
  <c r="G77" i="4"/>
  <c r="F77" i="4"/>
  <c r="E77" i="4"/>
  <c r="G63" i="4"/>
  <c r="F63" i="4"/>
  <c r="E63" i="4"/>
  <c r="G29" i="4"/>
  <c r="F29" i="4"/>
  <c r="E29" i="4"/>
  <c r="E49" i="4"/>
  <c r="F49" i="4"/>
  <c r="G49" i="4"/>
  <c r="G21" i="4"/>
  <c r="F21" i="4"/>
  <c r="E21" i="4"/>
  <c r="G111" i="4"/>
  <c r="F111" i="4"/>
  <c r="E111" i="4"/>
  <c r="G107" i="4"/>
  <c r="F107" i="4"/>
  <c r="E107" i="4"/>
  <c r="G75" i="4"/>
  <c r="F75" i="4"/>
  <c r="E75" i="4"/>
  <c r="G61" i="4"/>
  <c r="F61" i="4"/>
  <c r="E61" i="4"/>
  <c r="G43" i="4"/>
  <c r="F43" i="4"/>
  <c r="E43" i="4"/>
  <c r="G103" i="4"/>
  <c r="F103" i="4"/>
  <c r="E103" i="4"/>
  <c r="G47" i="4"/>
  <c r="F47" i="4"/>
  <c r="E47" i="4"/>
  <c r="E33" i="4"/>
  <c r="G33" i="4"/>
  <c r="F33" i="4"/>
  <c r="G19" i="4"/>
  <c r="F19" i="4"/>
  <c r="E19" i="4"/>
  <c r="G71" i="4"/>
  <c r="F71" i="4"/>
  <c r="E71" i="4"/>
  <c r="G101" i="4"/>
  <c r="F101" i="4"/>
  <c r="E101" i="4"/>
  <c r="G115" i="4"/>
  <c r="F115" i="4"/>
  <c r="E115" i="4"/>
  <c r="G87" i="4"/>
  <c r="F87" i="4"/>
  <c r="E87" i="4"/>
  <c r="G45" i="4"/>
  <c r="F45" i="4"/>
  <c r="E45" i="4"/>
  <c r="G31" i="4"/>
  <c r="F31" i="4"/>
  <c r="E31" i="4"/>
  <c r="F17" i="4"/>
  <c r="E17" i="4"/>
  <c r="G17" i="4"/>
  <c r="G114" i="4"/>
  <c r="G98" i="4"/>
  <c r="G82" i="4"/>
  <c r="G66" i="4"/>
  <c r="G50" i="4"/>
  <c r="G34" i="4"/>
  <c r="F16" i="4"/>
  <c r="E14" i="4"/>
  <c r="G112" i="4"/>
  <c r="G96" i="4"/>
  <c r="G80" i="4"/>
  <c r="G64" i="4"/>
  <c r="G48" i="4"/>
  <c r="G32" i="4"/>
  <c r="F14" i="4"/>
  <c r="F110" i="4"/>
  <c r="F94" i="4"/>
  <c r="F78" i="4"/>
  <c r="F62" i="4"/>
  <c r="F46" i="4"/>
  <c r="F30" i="4"/>
  <c r="E124" i="4"/>
  <c r="E108" i="4"/>
  <c r="E92" i="4"/>
  <c r="E76" i="4"/>
  <c r="E60" i="4"/>
  <c r="E44" i="4"/>
  <c r="E28" i="4"/>
  <c r="E123" i="4"/>
  <c r="E91" i="4"/>
  <c r="E59" i="4"/>
  <c r="E27" i="4"/>
  <c r="F124" i="4"/>
  <c r="F108" i="4"/>
  <c r="F92" i="4"/>
  <c r="F76" i="4"/>
  <c r="F60" i="4"/>
  <c r="F44" i="4"/>
  <c r="F28" i="4"/>
  <c r="E122" i="4"/>
  <c r="E106" i="4"/>
  <c r="E90" i="4"/>
  <c r="E74" i="4"/>
  <c r="E58" i="4"/>
  <c r="E42" i="4"/>
  <c r="E26" i="4"/>
  <c r="F123" i="4"/>
  <c r="F91" i="4"/>
  <c r="F59" i="4"/>
  <c r="F27" i="4"/>
  <c r="E105" i="4"/>
  <c r="E89" i="4"/>
  <c r="E73" i="4"/>
  <c r="E57" i="4"/>
  <c r="E41" i="4"/>
  <c r="E25" i="4"/>
  <c r="F122" i="4"/>
  <c r="F106" i="4"/>
  <c r="F90" i="4"/>
  <c r="F74" i="4"/>
  <c r="F58" i="4"/>
  <c r="F42" i="4"/>
  <c r="F26" i="4"/>
  <c r="E120" i="4"/>
  <c r="E104" i="4"/>
  <c r="E88" i="4"/>
  <c r="E72" i="4"/>
  <c r="E56" i="4"/>
  <c r="E40" i="4"/>
  <c r="E24" i="4"/>
  <c r="F105" i="4"/>
  <c r="F89" i="4"/>
  <c r="F73" i="4"/>
  <c r="F57" i="4"/>
  <c r="F41" i="4"/>
  <c r="F25" i="4"/>
  <c r="F120" i="4"/>
  <c r="F104" i="4"/>
  <c r="F88" i="4"/>
  <c r="F72" i="4"/>
  <c r="F56" i="4"/>
  <c r="F40" i="4"/>
  <c r="F24" i="4"/>
  <c r="E118" i="4"/>
  <c r="E102" i="4"/>
  <c r="E86" i="4"/>
  <c r="E70" i="4"/>
  <c r="E54" i="4"/>
  <c r="E38" i="4"/>
  <c r="E22" i="4"/>
  <c r="E117" i="4"/>
  <c r="E85" i="4"/>
  <c r="E53" i="4"/>
  <c r="F118" i="4"/>
  <c r="F102" i="4"/>
  <c r="F86" i="4"/>
  <c r="F70" i="4"/>
  <c r="F54" i="4"/>
  <c r="F38" i="4"/>
  <c r="F22" i="4"/>
  <c r="E116" i="4"/>
  <c r="E100" i="4"/>
  <c r="E84" i="4"/>
  <c r="E68" i="4"/>
  <c r="E52" i="4"/>
  <c r="E36" i="4"/>
  <c r="F117" i="4"/>
  <c r="F85" i="4"/>
  <c r="F53" i="4"/>
  <c r="E99" i="4"/>
  <c r="E67" i="4"/>
  <c r="E35" i="4"/>
  <c r="E18" i="4"/>
  <c r="F116" i="4"/>
  <c r="F100" i="4"/>
  <c r="F84" i="4"/>
  <c r="F68" i="4"/>
  <c r="F52" i="4"/>
  <c r="F36" i="4"/>
  <c r="E114" i="4"/>
  <c r="E98" i="4"/>
  <c r="E82" i="4"/>
  <c r="E66" i="4"/>
  <c r="E50" i="4"/>
  <c r="E34" i="4"/>
  <c r="F99" i="4"/>
  <c r="F67" i="4"/>
  <c r="F35" i="4"/>
  <c r="F18" i="4"/>
  <c r="C116" i="1"/>
  <c r="C122" i="4" s="1"/>
  <c r="C61" i="1"/>
  <c r="C67" i="4" s="1"/>
  <c r="C117" i="1"/>
  <c r="C123" i="4" s="1"/>
  <c r="C115" i="1"/>
  <c r="C121" i="4" s="1"/>
  <c r="C114" i="1"/>
  <c r="C120" i="4" s="1"/>
  <c r="C113" i="1"/>
  <c r="C119" i="4" s="1"/>
  <c r="C112" i="1"/>
  <c r="C118" i="4" s="1"/>
  <c r="C111" i="1"/>
  <c r="C117" i="4" s="1"/>
  <c r="C110" i="1"/>
  <c r="C116" i="4" s="1"/>
  <c r="C109" i="1"/>
  <c r="C115" i="4" s="1"/>
  <c r="C108" i="1"/>
  <c r="C114" i="4" s="1"/>
  <c r="C107" i="1"/>
  <c r="C113" i="4" s="1"/>
  <c r="C106" i="1"/>
  <c r="C112" i="4" s="1"/>
  <c r="C105" i="1"/>
  <c r="C111" i="4" s="1"/>
  <c r="C104" i="1"/>
  <c r="C110" i="4" s="1"/>
  <c r="C103" i="1"/>
  <c r="C109" i="4" s="1"/>
  <c r="C102" i="1"/>
  <c r="C108" i="4" s="1"/>
  <c r="C101" i="1"/>
  <c r="C107" i="4" s="1"/>
  <c r="C100" i="1"/>
  <c r="C106" i="4" s="1"/>
  <c r="C99" i="1"/>
  <c r="C105" i="4" s="1"/>
  <c r="C98" i="1"/>
  <c r="C104" i="4" s="1"/>
  <c r="C97" i="1"/>
  <c r="C103" i="4" s="1"/>
  <c r="C96" i="1"/>
  <c r="C102" i="4" s="1"/>
  <c r="C95" i="1"/>
  <c r="C101" i="4" s="1"/>
  <c r="C94" i="1"/>
  <c r="C100" i="4" s="1"/>
  <c r="C93" i="1"/>
  <c r="C99" i="4" s="1"/>
  <c r="C92" i="1"/>
  <c r="C98" i="4" s="1"/>
  <c r="C91" i="1"/>
  <c r="C97" i="4" s="1"/>
  <c r="C90" i="1"/>
  <c r="C96" i="4" s="1"/>
  <c r="C89" i="1"/>
  <c r="C95" i="4" s="1"/>
  <c r="C88" i="1"/>
  <c r="C94" i="4" s="1"/>
  <c r="C87" i="1"/>
  <c r="C93" i="4" s="1"/>
  <c r="C86" i="1"/>
  <c r="C92" i="4" s="1"/>
  <c r="C85" i="1"/>
  <c r="C91" i="4" s="1"/>
  <c r="C84" i="1"/>
  <c r="C90" i="4" s="1"/>
  <c r="C83" i="1"/>
  <c r="C89" i="4" s="1"/>
  <c r="C82" i="1"/>
  <c r="C88" i="4" s="1"/>
  <c r="C81" i="1"/>
  <c r="C87" i="4" s="1"/>
  <c r="C80" i="1"/>
  <c r="C86" i="4" s="1"/>
  <c r="C79" i="1"/>
  <c r="C85" i="4" s="1"/>
  <c r="C78" i="1"/>
  <c r="C84" i="4" s="1"/>
  <c r="C77" i="1"/>
  <c r="C83" i="4" s="1"/>
  <c r="C76" i="1"/>
  <c r="C82" i="4" s="1"/>
  <c r="C75" i="1"/>
  <c r="C81" i="4" s="1"/>
  <c r="C74" i="1"/>
  <c r="C80" i="4" s="1"/>
  <c r="C73" i="1"/>
  <c r="C79" i="4" s="1"/>
  <c r="C72" i="1"/>
  <c r="C78" i="4" s="1"/>
  <c r="C71" i="1"/>
  <c r="C77" i="4" s="1"/>
  <c r="C70" i="1"/>
  <c r="C76" i="4" s="1"/>
  <c r="C69" i="1"/>
  <c r="C75" i="4" s="1"/>
  <c r="C68" i="1"/>
  <c r="C74" i="4" s="1"/>
  <c r="C67" i="1"/>
  <c r="C73" i="4" s="1"/>
  <c r="C66" i="1"/>
  <c r="C72" i="4" s="1"/>
  <c r="C65" i="1"/>
  <c r="C71" i="4" s="1"/>
  <c r="C64" i="1"/>
  <c r="C70" i="4" s="1"/>
  <c r="C63" i="1"/>
  <c r="C69" i="4" s="1"/>
  <c r="C62" i="1"/>
  <c r="C68" i="4" s="1"/>
  <c r="C60" i="1"/>
  <c r="C66" i="4" s="1"/>
  <c r="C59" i="1"/>
  <c r="C65" i="4" s="1"/>
  <c r="C58" i="1"/>
  <c r="C64" i="4" s="1"/>
  <c r="C57" i="1"/>
  <c r="C63" i="4" s="1"/>
  <c r="C56" i="1"/>
  <c r="C62" i="4" s="1"/>
  <c r="C55" i="1"/>
  <c r="C61" i="4" s="1"/>
  <c r="C54" i="1"/>
  <c r="C60" i="4" s="1"/>
  <c r="C53" i="1"/>
  <c r="C59" i="4" s="1"/>
  <c r="C52" i="1"/>
  <c r="C58" i="4" s="1"/>
  <c r="C51" i="1"/>
  <c r="C57" i="4" s="1"/>
  <c r="C50" i="1"/>
  <c r="C56" i="4" s="1"/>
  <c r="C49" i="1"/>
  <c r="C55" i="4" s="1"/>
  <c r="C48" i="1"/>
  <c r="C54" i="4" s="1"/>
  <c r="C47" i="1"/>
  <c r="C53" i="4" s="1"/>
  <c r="C46" i="1"/>
  <c r="C52" i="4" s="1"/>
  <c r="C45" i="1"/>
  <c r="C51" i="4" s="1"/>
  <c r="C44" i="1"/>
  <c r="C50" i="4" s="1"/>
  <c r="C43" i="1"/>
  <c r="C49" i="4" s="1"/>
  <c r="C42" i="1"/>
  <c r="C48" i="4" s="1"/>
  <c r="C41" i="1"/>
  <c r="C47" i="4" s="1"/>
  <c r="C40" i="1"/>
  <c r="C46" i="4" s="1"/>
  <c r="C39" i="1"/>
  <c r="C45" i="4" s="1"/>
  <c r="C38" i="1"/>
  <c r="C44" i="4" s="1"/>
  <c r="C37" i="1"/>
  <c r="C43" i="4" s="1"/>
  <c r="C36" i="1"/>
  <c r="C42" i="4" s="1"/>
  <c r="C35" i="1"/>
  <c r="C41" i="4" s="1"/>
  <c r="D19" i="5" l="1"/>
  <c r="E135" i="1"/>
  <c r="F135" i="1"/>
  <c r="G135" i="1"/>
  <c r="H135" i="1"/>
  <c r="I135" i="1"/>
  <c r="J135" i="1"/>
  <c r="K135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D135" i="1"/>
  <c r="E134" i="1" l="1"/>
  <c r="F134" i="1"/>
  <c r="G134" i="1"/>
  <c r="H134" i="1"/>
  <c r="I134" i="1"/>
  <c r="J134" i="1"/>
  <c r="K134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Y134" i="1"/>
  <c r="Z134" i="1"/>
  <c r="AA134" i="1"/>
  <c r="AB134" i="1"/>
  <c r="AC134" i="1"/>
  <c r="AD134" i="1"/>
  <c r="AE134" i="1"/>
  <c r="AF134" i="1"/>
  <c r="AG134" i="1"/>
  <c r="AH134" i="1"/>
  <c r="D134" i="1"/>
  <c r="C34" i="1" l="1"/>
  <c r="C40" i="4" s="1"/>
  <c r="C33" i="1"/>
  <c r="C39" i="4" s="1"/>
  <c r="C32" i="1"/>
  <c r="C38" i="4" s="1"/>
  <c r="C31" i="1"/>
  <c r="C37" i="4" s="1"/>
  <c r="C30" i="1"/>
  <c r="C36" i="4" s="1"/>
  <c r="C29" i="1"/>
  <c r="C35" i="4" s="1"/>
  <c r="C28" i="1"/>
  <c r="C34" i="4" s="1"/>
  <c r="C27" i="1"/>
  <c r="C33" i="4" s="1"/>
  <c r="C10" i="1" l="1"/>
  <c r="C16" i="4" s="1"/>
  <c r="K12" i="4" l="1"/>
  <c r="L12" i="4" s="1"/>
  <c r="E13" i="4"/>
  <c r="C8" i="4"/>
  <c r="F20" i="4" s="1"/>
  <c r="C7" i="4"/>
  <c r="C5" i="4"/>
  <c r="C4" i="4"/>
  <c r="C6" i="4"/>
  <c r="C126" i="4" s="1"/>
  <c r="B2" i="4"/>
  <c r="L6" i="4"/>
  <c r="E12" i="4" l="1"/>
  <c r="F13" i="4"/>
  <c r="B13" i="4"/>
  <c r="E137" i="1"/>
  <c r="F137" i="1"/>
  <c r="G137" i="1"/>
  <c r="H137" i="1"/>
  <c r="I137" i="1"/>
  <c r="J137" i="1"/>
  <c r="K137" i="1"/>
  <c r="L137" i="1"/>
  <c r="M137" i="1"/>
  <c r="N137" i="1"/>
  <c r="O137" i="1"/>
  <c r="P137" i="1"/>
  <c r="Q137" i="1"/>
  <c r="R137" i="1"/>
  <c r="S137" i="1"/>
  <c r="T137" i="1"/>
  <c r="U137" i="1"/>
  <c r="V137" i="1"/>
  <c r="W137" i="1"/>
  <c r="X137" i="1"/>
  <c r="Y137" i="1"/>
  <c r="Z137" i="1"/>
  <c r="AA137" i="1"/>
  <c r="AB137" i="1"/>
  <c r="AC137" i="1"/>
  <c r="AD137" i="1"/>
  <c r="AE137" i="1"/>
  <c r="AF137" i="1"/>
  <c r="AG137" i="1"/>
  <c r="AH137" i="1"/>
  <c r="E138" i="1"/>
  <c r="F138" i="1"/>
  <c r="G138" i="1"/>
  <c r="H138" i="1"/>
  <c r="I138" i="1"/>
  <c r="J138" i="1"/>
  <c r="K138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Y138" i="1"/>
  <c r="Z138" i="1"/>
  <c r="AA138" i="1"/>
  <c r="AB138" i="1"/>
  <c r="AC138" i="1"/>
  <c r="AD138" i="1"/>
  <c r="AE138" i="1"/>
  <c r="AF138" i="1"/>
  <c r="AG138" i="1"/>
  <c r="AH138" i="1"/>
  <c r="E139" i="1"/>
  <c r="F139" i="1"/>
  <c r="G139" i="1"/>
  <c r="H139" i="1"/>
  <c r="I139" i="1"/>
  <c r="J139" i="1"/>
  <c r="K139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X139" i="1"/>
  <c r="Y139" i="1"/>
  <c r="Z139" i="1"/>
  <c r="AA139" i="1"/>
  <c r="AB139" i="1"/>
  <c r="AC139" i="1"/>
  <c r="AD139" i="1"/>
  <c r="AE139" i="1"/>
  <c r="AF139" i="1"/>
  <c r="AG139" i="1"/>
  <c r="AH139" i="1"/>
  <c r="E140" i="1"/>
  <c r="F140" i="1"/>
  <c r="G140" i="1"/>
  <c r="H140" i="1"/>
  <c r="I140" i="1"/>
  <c r="J140" i="1"/>
  <c r="K140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D140" i="1"/>
  <c r="D139" i="1"/>
  <c r="D138" i="1"/>
  <c r="D137" i="1"/>
  <c r="C13" i="4"/>
  <c r="C7" i="3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I4" i="3"/>
  <c r="D4" i="3"/>
  <c r="D3" i="3"/>
  <c r="D2" i="1"/>
  <c r="E2" i="1" s="1"/>
  <c r="F2" i="1" s="1"/>
  <c r="G2" i="1" s="1"/>
  <c r="H2" i="1" s="1"/>
  <c r="I2" i="1" s="1"/>
  <c r="J2" i="1" s="1"/>
  <c r="K2" i="1" s="1"/>
  <c r="L2" i="1" s="1"/>
  <c r="M2" i="1" s="1"/>
  <c r="N2" i="1" s="1"/>
  <c r="O2" i="1" s="1"/>
  <c r="P2" i="1" s="1"/>
  <c r="Q2" i="1" s="1"/>
  <c r="R2" i="1" s="1"/>
  <c r="S2" i="1" s="1"/>
  <c r="T2" i="1" s="1"/>
  <c r="U2" i="1" s="1"/>
  <c r="V2" i="1" s="1"/>
  <c r="W2" i="1" s="1"/>
  <c r="X2" i="1" s="1"/>
  <c r="Y2" i="1" s="1"/>
  <c r="Z2" i="1" s="1"/>
  <c r="AA2" i="1" s="1"/>
  <c r="AB2" i="1" s="1"/>
  <c r="AC2" i="1" s="1"/>
  <c r="AD2" i="1" s="1"/>
  <c r="AE2" i="1" s="1"/>
  <c r="AH131" i="1" s="1"/>
  <c r="C8" i="1"/>
  <c r="C14" i="4" s="1"/>
  <c r="C9" i="1"/>
  <c r="C15" i="4" s="1"/>
  <c r="C11" i="1"/>
  <c r="C17" i="4" s="1"/>
  <c r="C12" i="1"/>
  <c r="C18" i="4" s="1"/>
  <c r="C13" i="1"/>
  <c r="C19" i="4" s="1"/>
  <c r="C14" i="1"/>
  <c r="C20" i="4" s="1"/>
  <c r="C15" i="1"/>
  <c r="C21" i="4" s="1"/>
  <c r="C16" i="1"/>
  <c r="C22" i="4" s="1"/>
  <c r="C17" i="1"/>
  <c r="C23" i="4" s="1"/>
  <c r="C18" i="1"/>
  <c r="C24" i="4" s="1"/>
  <c r="C19" i="1"/>
  <c r="C25" i="4" s="1"/>
  <c r="C20" i="1"/>
  <c r="C26" i="4" s="1"/>
  <c r="C21" i="1"/>
  <c r="C27" i="4" s="1"/>
  <c r="C22" i="1"/>
  <c r="C28" i="4" s="1"/>
  <c r="C23" i="1"/>
  <c r="C29" i="4" s="1"/>
  <c r="C24" i="1"/>
  <c r="C30" i="4" s="1"/>
  <c r="C25" i="1"/>
  <c r="C31" i="4" s="1"/>
  <c r="C26" i="1"/>
  <c r="C32" i="4" s="1"/>
  <c r="C118" i="1"/>
  <c r="C124" i="4" s="1"/>
  <c r="E126" i="4" l="1"/>
  <c r="G20" i="4" s="1"/>
  <c r="E125" i="4"/>
  <c r="F12" i="4"/>
  <c r="O7" i="3" a="1"/>
  <c r="P7" i="3" s="1"/>
  <c r="D132" i="1"/>
  <c r="C35" i="3"/>
  <c r="C36" i="3" s="1"/>
  <c r="C37" i="3" s="1"/>
  <c r="AB132" i="1"/>
  <c r="T132" i="1"/>
  <c r="L132" i="1"/>
  <c r="AC132" i="1"/>
  <c r="U132" i="1"/>
  <c r="M132" i="1"/>
  <c r="E132" i="1"/>
  <c r="AA132" i="1"/>
  <c r="S132" i="1"/>
  <c r="K132" i="1"/>
  <c r="Z132" i="1"/>
  <c r="R132" i="1"/>
  <c r="J132" i="1"/>
  <c r="Y132" i="1"/>
  <c r="Q132" i="1"/>
  <c r="I132" i="1"/>
  <c r="X132" i="1"/>
  <c r="P132" i="1"/>
  <c r="H132" i="1"/>
  <c r="AE132" i="1"/>
  <c r="W132" i="1"/>
  <c r="O132" i="1"/>
  <c r="G132" i="1"/>
  <c r="AD132" i="1"/>
  <c r="V132" i="1"/>
  <c r="N132" i="1"/>
  <c r="F132" i="1"/>
  <c r="AF131" i="1"/>
  <c r="AG131" i="1"/>
  <c r="F126" i="4" l="1"/>
  <c r="AB133" i="1"/>
  <c r="AB119" i="1" s="1"/>
  <c r="G133" i="1"/>
  <c r="G119" i="1" s="1"/>
  <c r="Q133" i="1"/>
  <c r="Q119" i="1" s="1"/>
  <c r="E133" i="1"/>
  <c r="E119" i="1" s="1"/>
  <c r="D133" i="1"/>
  <c r="D119" i="1" s="1"/>
  <c r="V133" i="1"/>
  <c r="V119" i="1" s="1"/>
  <c r="AA133" i="1"/>
  <c r="AA119" i="1" s="1"/>
  <c r="O133" i="1"/>
  <c r="O119" i="1" s="1"/>
  <c r="Y133" i="1"/>
  <c r="Y119" i="1" s="1"/>
  <c r="M133" i="1"/>
  <c r="M119" i="1" s="1"/>
  <c r="W133" i="1"/>
  <c r="W119" i="1" s="1"/>
  <c r="J133" i="1"/>
  <c r="J119" i="1" s="1"/>
  <c r="U133" i="1"/>
  <c r="U119" i="1" s="1"/>
  <c r="AE133" i="1"/>
  <c r="AE119" i="1" s="1"/>
  <c r="R133" i="1"/>
  <c r="R119" i="1" s="1"/>
  <c r="AC133" i="1"/>
  <c r="AC119" i="1" s="1"/>
  <c r="X133" i="1"/>
  <c r="X119" i="1" s="1"/>
  <c r="I133" i="1"/>
  <c r="I119" i="1" s="1"/>
  <c r="H133" i="1"/>
  <c r="H119" i="1" s="1"/>
  <c r="Z133" i="1"/>
  <c r="Z119" i="1" s="1"/>
  <c r="L133" i="1"/>
  <c r="L119" i="1" s="1"/>
  <c r="S133" i="1"/>
  <c r="S119" i="1" s="1"/>
  <c r="AD133" i="1"/>
  <c r="AD119" i="1" s="1"/>
  <c r="F133" i="1"/>
  <c r="F119" i="1" s="1"/>
  <c r="N133" i="1"/>
  <c r="N119" i="1" s="1"/>
  <c r="P133" i="1"/>
  <c r="P119" i="1" s="1"/>
  <c r="K133" i="1"/>
  <c r="K119" i="1" s="1"/>
  <c r="T133" i="1"/>
  <c r="T119" i="1" s="1"/>
  <c r="G12" i="4"/>
  <c r="G13" i="4"/>
  <c r="P31" i="3"/>
  <c r="Q25" i="3"/>
  <c r="P20" i="3"/>
  <c r="P17" i="3"/>
  <c r="O18" i="3"/>
  <c r="Q11" i="3"/>
  <c r="R10" i="3"/>
  <c r="P22" i="3"/>
  <c r="R27" i="3"/>
  <c r="R34" i="3"/>
  <c r="Q29" i="3"/>
  <c r="R22" i="3"/>
  <c r="O17" i="3"/>
  <c r="P8" i="3"/>
  <c r="P24" i="3"/>
  <c r="Q10" i="3"/>
  <c r="Q26" i="3"/>
  <c r="O16" i="3"/>
  <c r="O32" i="3"/>
  <c r="P36" i="3"/>
  <c r="R23" i="3"/>
  <c r="R30" i="3"/>
  <c r="R21" i="3"/>
  <c r="O35" i="3"/>
  <c r="Q24" i="3"/>
  <c r="P35" i="3"/>
  <c r="R12" i="3"/>
  <c r="R25" i="3"/>
  <c r="P21" i="3"/>
  <c r="P37" i="3"/>
  <c r="R31" i="3"/>
  <c r="O22" i="3"/>
  <c r="R14" i="3"/>
  <c r="O11" i="3"/>
  <c r="Q15" i="3"/>
  <c r="Q31" i="3"/>
  <c r="R29" i="3"/>
  <c r="R28" i="3"/>
  <c r="O19" i="3"/>
  <c r="P10" i="3"/>
  <c r="P26" i="3"/>
  <c r="Q12" i="3"/>
  <c r="Q28" i="3"/>
  <c r="P15" i="3"/>
  <c r="R26" i="3"/>
  <c r="R15" i="3"/>
  <c r="Q22" i="3"/>
  <c r="P33" i="3"/>
  <c r="R8" i="3"/>
  <c r="Q27" i="3"/>
  <c r="O15" i="3"/>
  <c r="Q8" i="3"/>
  <c r="P19" i="3"/>
  <c r="O20" i="3"/>
  <c r="Q13" i="3"/>
  <c r="P23" i="3"/>
  <c r="R7" i="3"/>
  <c r="R35" i="3"/>
  <c r="O24" i="3"/>
  <c r="R16" i="3"/>
  <c r="O25" i="3"/>
  <c r="Q17" i="3"/>
  <c r="Q33" i="3"/>
  <c r="R33" i="3"/>
  <c r="R32" i="3"/>
  <c r="O21" i="3"/>
  <c r="P12" i="3"/>
  <c r="P28" i="3"/>
  <c r="Q14" i="3"/>
  <c r="Q30" i="3"/>
  <c r="O23" i="3"/>
  <c r="O36" i="3"/>
  <c r="O13" i="3"/>
  <c r="P25" i="3"/>
  <c r="O8" i="3"/>
  <c r="O28" i="3"/>
  <c r="O31" i="3"/>
  <c r="Q35" i="3"/>
  <c r="R37" i="3"/>
  <c r="P14" i="3"/>
  <c r="Q32" i="3"/>
  <c r="P11" i="3"/>
  <c r="P27" i="3"/>
  <c r="R13" i="3"/>
  <c r="O12" i="3"/>
  <c r="O30" i="3"/>
  <c r="R20" i="3"/>
  <c r="O37" i="3"/>
  <c r="Q21" i="3"/>
  <c r="Q37" i="3"/>
  <c r="O10" i="3"/>
  <c r="O7" i="3"/>
  <c r="O27" i="3"/>
  <c r="P16" i="3"/>
  <c r="P32" i="3"/>
  <c r="Q18" i="3"/>
  <c r="Q34" i="3"/>
  <c r="R19" i="3"/>
  <c r="Q9" i="3"/>
  <c r="O33" i="3"/>
  <c r="P9" i="3"/>
  <c r="R11" i="3"/>
  <c r="R18" i="3"/>
  <c r="Q19" i="3"/>
  <c r="R36" i="3"/>
  <c r="P30" i="3"/>
  <c r="Q16" i="3"/>
  <c r="P13" i="3"/>
  <c r="P29" i="3"/>
  <c r="R17" i="3"/>
  <c r="O14" i="3"/>
  <c r="O34" i="3"/>
  <c r="R24" i="3"/>
  <c r="Q7" i="3"/>
  <c r="Q23" i="3"/>
  <c r="R9" i="3"/>
  <c r="O26" i="3"/>
  <c r="O9" i="3"/>
  <c r="O29" i="3"/>
  <c r="P18" i="3"/>
  <c r="P34" i="3"/>
  <c r="Q20" i="3"/>
  <c r="Q36" i="3"/>
  <c r="AF2" i="1"/>
  <c r="AF132" i="1" s="1"/>
  <c r="AF133" i="1" l="1"/>
  <c r="AF119" i="1" s="1"/>
  <c r="S29" i="3"/>
  <c r="F29" i="3" s="1"/>
  <c r="S9" i="3"/>
  <c r="F9" i="3" s="1"/>
  <c r="S14" i="3"/>
  <c r="F14" i="3" s="1"/>
  <c r="S30" i="3"/>
  <c r="F30" i="3" s="1"/>
  <c r="S23" i="3"/>
  <c r="F23" i="3" s="1"/>
  <c r="S19" i="3"/>
  <c r="F19" i="3" s="1"/>
  <c r="S26" i="3"/>
  <c r="F26" i="3" s="1"/>
  <c r="S21" i="3"/>
  <c r="F21" i="3" s="1"/>
  <c r="S11" i="3"/>
  <c r="F11" i="3" s="1"/>
  <c r="S16" i="3"/>
  <c r="F16" i="3" s="1"/>
  <c r="S13" i="3"/>
  <c r="F13" i="3" s="1"/>
  <c r="S34" i="3"/>
  <c r="F34" i="3" s="1"/>
  <c r="S37" i="3"/>
  <c r="F37" i="3" s="1"/>
  <c r="S36" i="3"/>
  <c r="F36" i="3" s="1"/>
  <c r="S22" i="3"/>
  <c r="F22" i="3" s="1"/>
  <c r="S35" i="3"/>
  <c r="F35" i="3" s="1"/>
  <c r="S20" i="3"/>
  <c r="F20" i="3" s="1"/>
  <c r="S12" i="3"/>
  <c r="F12" i="3" s="1"/>
  <c r="S17" i="3"/>
  <c r="F17" i="3" s="1"/>
  <c r="S33" i="3"/>
  <c r="F33" i="3" s="1"/>
  <c r="S7" i="3"/>
  <c r="F7" i="3" s="1"/>
  <c r="S28" i="3"/>
  <c r="F28" i="3" s="1"/>
  <c r="S27" i="3"/>
  <c r="F27" i="3" s="1"/>
  <c r="S31" i="3"/>
  <c r="F31" i="3" s="1"/>
  <c r="S25" i="3"/>
  <c r="F25" i="3" s="1"/>
  <c r="S18" i="3"/>
  <c r="F18" i="3" s="1"/>
  <c r="S10" i="3"/>
  <c r="F10" i="3" s="1"/>
  <c r="S8" i="3"/>
  <c r="F8" i="3" s="1"/>
  <c r="S24" i="3"/>
  <c r="F24" i="3" s="1"/>
  <c r="S15" i="3"/>
  <c r="F15" i="3" s="1"/>
  <c r="S32" i="3"/>
  <c r="F32" i="3" s="1"/>
  <c r="AG2" i="1"/>
  <c r="AG132" i="1" s="1"/>
  <c r="AG133" i="1" l="1"/>
  <c r="AG119" i="1" s="1"/>
  <c r="AH2" i="1"/>
  <c r="AH132" i="1" s="1"/>
  <c r="AH133" i="1" l="1"/>
  <c r="D7" i="3" l="1" a="1"/>
  <c r="D11" i="3" s="1"/>
  <c r="AH119" i="1"/>
  <c r="D34" i="3" l="1"/>
  <c r="D23" i="3"/>
  <c r="D27" i="3"/>
  <c r="D20" i="3"/>
  <c r="D25" i="3"/>
  <c r="D35" i="3"/>
  <c r="D9" i="3"/>
  <c r="D32" i="3"/>
  <c r="D15" i="3"/>
  <c r="D26" i="3"/>
  <c r="D21" i="3"/>
  <c r="D22" i="3"/>
  <c r="D28" i="3"/>
  <c r="D24" i="3"/>
  <c r="D16" i="3"/>
  <c r="D36" i="3"/>
  <c r="D12" i="3"/>
  <c r="D17" i="3"/>
  <c r="D19" i="3"/>
  <c r="D30" i="3"/>
  <c r="D14" i="3"/>
  <c r="D13" i="3"/>
  <c r="D33" i="3"/>
  <c r="D37" i="3"/>
  <c r="D18" i="3"/>
  <c r="D7" i="3"/>
  <c r="D29" i="3"/>
  <c r="D8" i="3"/>
  <c r="D10" i="3"/>
  <c r="D31" i="3"/>
  <c r="D40" i="3" l="1"/>
</calcChain>
</file>

<file path=xl/sharedStrings.xml><?xml version="1.0" encoding="utf-8"?>
<sst xmlns="http://schemas.openxmlformats.org/spreadsheetml/2006/main" count="175" uniqueCount="161">
  <si>
    <r>
      <t>1. Onglet "</t>
    </r>
    <r>
      <rPr>
        <sz val="11"/>
        <color rgb="FF00B0F0"/>
        <rFont val="Calibri"/>
        <family val="2"/>
        <scheme val="minor"/>
      </rPr>
      <t>Configuration</t>
    </r>
    <r>
      <rPr>
        <sz val="11"/>
        <color theme="1"/>
        <rFont val="Calibri"/>
        <family val="2"/>
        <scheme val="minor"/>
      </rPr>
      <t>"</t>
    </r>
  </si>
  <si>
    <r>
      <t xml:space="preserve">1.A. Sélectionnez le mois de la timesheet (taper </t>
    </r>
    <r>
      <rPr>
        <sz val="11"/>
        <color rgb="FF00B0F0"/>
        <rFont val="Calibri"/>
        <family val="2"/>
        <scheme val="minor"/>
      </rPr>
      <t>[mois]/[année]</t>
    </r>
    <r>
      <rPr>
        <sz val="11"/>
        <color theme="1"/>
        <rFont val="Calibri"/>
        <family val="2"/>
        <scheme val="minor"/>
      </rPr>
      <t>)</t>
    </r>
  </si>
  <si>
    <r>
      <t>1.B. Encodez vos données personnelles et votre statut (</t>
    </r>
    <r>
      <rPr>
        <sz val="11"/>
        <color rgb="FF00B0F0"/>
        <rFont val="Calibri"/>
        <family val="2"/>
        <scheme val="minor"/>
      </rPr>
      <t>interne</t>
    </r>
    <r>
      <rPr>
        <sz val="11"/>
        <color theme="1"/>
        <rFont val="Calibri"/>
        <family val="2"/>
        <scheme val="minor"/>
      </rPr>
      <t xml:space="preserve"> ou </t>
    </r>
    <r>
      <rPr>
        <sz val="11"/>
        <color rgb="FF00B0F0"/>
        <rFont val="Calibri"/>
        <family val="2"/>
        <scheme val="minor"/>
      </rPr>
      <t>externe</t>
    </r>
    <r>
      <rPr>
        <sz val="11"/>
        <color theme="1"/>
        <rFont val="Calibri"/>
        <family val="2"/>
        <scheme val="minor"/>
      </rPr>
      <t>), et votre société le cas échéant</t>
    </r>
  </si>
  <si>
    <r>
      <t xml:space="preserve">1.C. Encodez votre horaire de travail hebdomadaire, le temps par jour est alors automatiquement calculé.
        (taper </t>
    </r>
    <r>
      <rPr>
        <sz val="11"/>
        <color rgb="FF00B0F0"/>
        <rFont val="Calibri"/>
        <family val="2"/>
        <scheme val="minor"/>
      </rPr>
      <t>[heures]:[minutes]</t>
    </r>
    <r>
      <rPr>
        <sz val="11"/>
        <color theme="1"/>
        <rFont val="Calibri"/>
        <family val="2"/>
        <scheme val="minor"/>
      </rPr>
      <t>)</t>
    </r>
  </si>
  <si>
    <r>
      <t>2. Onglet "</t>
    </r>
    <r>
      <rPr>
        <sz val="11"/>
        <color rgb="FF00B0F0"/>
        <rFont val="Calibri"/>
        <family val="2"/>
        <scheme val="minor"/>
      </rPr>
      <t>Prestations</t>
    </r>
    <r>
      <rPr>
        <sz val="11"/>
        <color theme="1"/>
        <rFont val="Calibri"/>
        <family val="2"/>
        <scheme val="minor"/>
      </rPr>
      <t>"</t>
    </r>
  </si>
  <si>
    <r>
      <t>2.A. Ajoutez vos projets en sélectionnant leurs codes respectifs dans la colonne B (zone en bleu)
         Pour trouver les codes, consultez l'onglet "</t>
    </r>
    <r>
      <rPr>
        <sz val="11"/>
        <color rgb="FF00B0F0"/>
        <rFont val="Calibri"/>
        <family val="2"/>
        <scheme val="minor"/>
      </rPr>
      <t>Codes projet</t>
    </r>
    <r>
      <rPr>
        <sz val="11"/>
        <color theme="1"/>
        <rFont val="Calibri"/>
        <family val="2"/>
        <scheme val="minor"/>
      </rPr>
      <t>"
         Si votre projet n'existe pas dans la liste, utilisez le code "</t>
    </r>
    <r>
      <rPr>
        <sz val="11"/>
        <color rgb="FF00B0F0"/>
        <rFont val="Calibri"/>
        <family val="2"/>
        <scheme val="minor"/>
      </rPr>
      <t>AUTRE</t>
    </r>
    <r>
      <rPr>
        <sz val="11"/>
        <color theme="1"/>
        <rFont val="Calibri"/>
        <family val="2"/>
        <scheme val="minor"/>
      </rPr>
      <t>" et ajoutez une description adaptée</t>
    </r>
  </si>
  <si>
    <r>
      <t xml:space="preserve">2.B. Encodez vos prestations en heures (Taper </t>
    </r>
    <r>
      <rPr>
        <sz val="11"/>
        <color rgb="FF00B0F0"/>
        <rFont val="Calibri"/>
        <family val="2"/>
        <scheme val="minor"/>
      </rPr>
      <t>[heures]:[minutes]</t>
    </r>
    <r>
      <rPr>
        <sz val="11"/>
        <color theme="1"/>
        <rFont val="Calibri"/>
        <family val="2"/>
        <scheme val="minor"/>
      </rPr>
      <t>)</t>
    </r>
  </si>
  <si>
    <t>2.C. Quand le total d'une journée correspond à votre horaire, l'en-tête de la colonne se met en vert)</t>
  </si>
  <si>
    <t>3. Enregistrement</t>
  </si>
  <si>
    <r>
      <t>Appliquer le format suivant au nom du fichier : "TS-[</t>
    </r>
    <r>
      <rPr>
        <sz val="11"/>
        <color rgb="FF00B0F0"/>
        <rFont val="Calibri"/>
        <family val="2"/>
        <scheme val="minor"/>
      </rPr>
      <t>année</t>
    </r>
    <r>
      <rPr>
        <sz val="11"/>
        <color theme="1"/>
        <rFont val="Calibri"/>
        <family val="2"/>
        <scheme val="minor"/>
      </rPr>
      <t>:yyyy]-[</t>
    </r>
    <r>
      <rPr>
        <sz val="11"/>
        <color rgb="FF00B0F0"/>
        <rFont val="Calibri"/>
        <family val="2"/>
        <scheme val="minor"/>
      </rPr>
      <t>mois</t>
    </r>
    <r>
      <rPr>
        <sz val="11"/>
        <color theme="1"/>
        <rFont val="Calibri"/>
        <family val="2"/>
        <scheme val="minor"/>
      </rPr>
      <t>:mm]-[</t>
    </r>
    <r>
      <rPr>
        <sz val="11"/>
        <color rgb="FF00B0F0"/>
        <rFont val="Calibri"/>
        <family val="2"/>
        <scheme val="minor"/>
      </rPr>
      <t>Nom</t>
    </r>
    <r>
      <rPr>
        <sz val="11"/>
        <color theme="1"/>
        <rFont val="Calibri"/>
        <family val="2"/>
        <scheme val="minor"/>
      </rPr>
      <t>]-[</t>
    </r>
    <r>
      <rPr>
        <sz val="11"/>
        <color rgb="FF00B0F0"/>
        <rFont val="Calibri"/>
        <family val="2"/>
        <scheme val="minor"/>
      </rPr>
      <t>Prenom</t>
    </r>
    <r>
      <rPr>
        <sz val="11"/>
        <color theme="1"/>
        <rFont val="Calibri"/>
        <family val="2"/>
        <scheme val="minor"/>
      </rPr>
      <t>].xlsx"
Ex : TS-2020-01-Smith-John.xlsx</t>
    </r>
  </si>
  <si>
    <t>Mois</t>
  </si>
  <si>
    <t>Nom</t>
  </si>
  <si>
    <t>Prénom</t>
  </si>
  <si>
    <t>Statut</t>
  </si>
  <si>
    <t>Société</t>
  </si>
  <si>
    <t>Temps de travail (hebdomadaire)</t>
  </si>
  <si>
    <t>Temps de travail (par jour)</t>
  </si>
  <si>
    <t>Interne</t>
  </si>
  <si>
    <t>Externe</t>
  </si>
  <si>
    <t>Code
projet</t>
  </si>
  <si>
    <t>Intitulé</t>
  </si>
  <si>
    <t>Jour férié</t>
  </si>
  <si>
    <t>Congé ou fermeture</t>
  </si>
  <si>
    <t>Temps partiel</t>
  </si>
  <si>
    <t>Autre absence</t>
  </si>
  <si>
    <t>Jour existe</t>
  </si>
  <si>
    <t>Week day</t>
  </si>
  <si>
    <t>Target</t>
  </si>
  <si>
    <t>Total</t>
  </si>
  <si>
    <t>Total (hors absences)</t>
  </si>
  <si>
    <t>Férié</t>
  </si>
  <si>
    <t>Congé</t>
  </si>
  <si>
    <t>Absence</t>
  </si>
  <si>
    <t>Timesheet</t>
  </si>
  <si>
    <t>Société :</t>
  </si>
  <si>
    <t>Consultant :</t>
  </si>
  <si>
    <t>Date</t>
  </si>
  <si>
    <t>Heures</t>
  </si>
  <si>
    <t>Commentaires</t>
  </si>
  <si>
    <t xml:space="preserve"> heures de prestations</t>
  </si>
  <si>
    <t>Remarques :</t>
  </si>
  <si>
    <t>Accord du client concernant les prestations</t>
  </si>
  <si>
    <t>(votre accord n'implique pas nécessairement la facturation)</t>
  </si>
  <si>
    <t>Date, nom et signature</t>
  </si>
  <si>
    <t>Marguerite Frébutte</t>
  </si>
  <si>
    <t>Horaire</t>
  </si>
  <si>
    <t>Jours</t>
  </si>
  <si>
    <t>%</t>
  </si>
  <si>
    <t>Not Empty</t>
  </si>
  <si>
    <t>Absences</t>
  </si>
  <si>
    <t xml:space="preserve"> </t>
  </si>
  <si>
    <t>Code</t>
  </si>
  <si>
    <t>AUTRE</t>
  </si>
  <si>
    <t>[Décrivez le projet]</t>
  </si>
  <si>
    <t>NE PAS DÉCRIRE LE PROJET ICI ! Il faut le décrire directement dans la feuille prestations.</t>
  </si>
  <si>
    <t>ADMIN</t>
  </si>
  <si>
    <t>Administration</t>
  </si>
  <si>
    <t>ADMINBUD</t>
  </si>
  <si>
    <t>Estimation et suivi budgétaire</t>
  </si>
  <si>
    <t>ARCHMARQ</t>
  </si>
  <si>
    <t>244021 - archtecture des marques</t>
  </si>
  <si>
    <t>BCLN</t>
  </si>
  <si>
    <t>Bilan de Compétences Linguistiques et Numériques / ELAO</t>
  </si>
  <si>
    <t>BCSS</t>
  </si>
  <si>
    <t>Traitement des flux</t>
  </si>
  <si>
    <t>BI</t>
  </si>
  <si>
    <t>Reporting BO</t>
  </si>
  <si>
    <t>BOACC</t>
  </si>
  <si>
    <t>BOAccount</t>
  </si>
  <si>
    <t>BOHRXML</t>
  </si>
  <si>
    <t>Back office HR-XML</t>
  </si>
  <si>
    <t>CDM</t>
  </si>
  <si>
    <t>Cité des métiers</t>
  </si>
  <si>
    <t>COMPETENT</t>
  </si>
  <si>
    <t>Competent 2.0</t>
  </si>
  <si>
    <t>C008</t>
  </si>
  <si>
    <t>Dématérialisation des documents (Irisnext)</t>
  </si>
  <si>
    <t>C032-01</t>
  </si>
  <si>
    <t>Dossier unique - CE</t>
  </si>
  <si>
    <t>C032-02</t>
  </si>
  <si>
    <t>Dossier unique - Employeurs</t>
  </si>
  <si>
    <t>C032-03</t>
  </si>
  <si>
    <t>Dossier unique - Matching</t>
  </si>
  <si>
    <t>C032-04</t>
  </si>
  <si>
    <t>C032-05</t>
  </si>
  <si>
    <t>C032-06</t>
  </si>
  <si>
    <t>DU - DISPO</t>
  </si>
  <si>
    <t>C032-07</t>
  </si>
  <si>
    <t>DU - PAI/accompagnement</t>
  </si>
  <si>
    <t>C032-08</t>
  </si>
  <si>
    <t>C092</t>
  </si>
  <si>
    <t>Actiris.brussels</t>
  </si>
  <si>
    <t>C099</t>
  </si>
  <si>
    <t>SIRH</t>
  </si>
  <si>
    <t>C106</t>
  </si>
  <si>
    <t>MAP</t>
  </si>
  <si>
    <t>C107-01</t>
  </si>
  <si>
    <t>CRM</t>
  </si>
  <si>
    <t>C107-02</t>
  </si>
  <si>
    <t>MDM</t>
  </si>
  <si>
    <t>C114</t>
  </si>
  <si>
    <t>MAPE</t>
  </si>
  <si>
    <t>C197</t>
  </si>
  <si>
    <t>Plan directeur de la décentralisation</t>
  </si>
  <si>
    <t>C204</t>
  </si>
  <si>
    <t>ECOSOC</t>
  </si>
  <si>
    <t>C211</t>
  </si>
  <si>
    <t>RGPD</t>
  </si>
  <si>
    <t>DESIGN</t>
  </si>
  <si>
    <t>Design System</t>
  </si>
  <si>
    <t>D218</t>
  </si>
  <si>
    <t>Primo-arrivants</t>
  </si>
  <si>
    <t>D220</t>
  </si>
  <si>
    <t>PFE</t>
  </si>
  <si>
    <t>D221</t>
  </si>
  <si>
    <t>Nouvel accompagnement</t>
  </si>
  <si>
    <t>ESIRIUS</t>
  </si>
  <si>
    <t>EURES</t>
  </si>
  <si>
    <t>EURES CV et OE</t>
  </si>
  <si>
    <t>FARI</t>
  </si>
  <si>
    <t>Fari</t>
  </si>
  <si>
    <t>FOE</t>
  </si>
  <si>
    <t>217918 - Focus opportunité emploi</t>
  </si>
  <si>
    <t>FORMULAIRE</t>
  </si>
  <si>
    <t>Formulaires</t>
  </si>
  <si>
    <t>GSPT</t>
  </si>
  <si>
    <t>Levier d'action</t>
  </si>
  <si>
    <t>HANDICAP</t>
  </si>
  <si>
    <t>Projet handicap - Prime Handicap &amp; Incitant</t>
  </si>
  <si>
    <t>IBIS</t>
  </si>
  <si>
    <t>Release IBIS</t>
  </si>
  <si>
    <t>IMTB</t>
  </si>
  <si>
    <t>INI024</t>
  </si>
  <si>
    <t>ICF</t>
  </si>
  <si>
    <t>INI025</t>
  </si>
  <si>
    <t>ITREG</t>
  </si>
  <si>
    <t>IT régional</t>
  </si>
  <si>
    <t>OPTIMOFFRE</t>
  </si>
  <si>
    <t>Utilisation optimale des offres</t>
  </si>
  <si>
    <t>PDA011</t>
  </si>
  <si>
    <t>Signature électronique</t>
  </si>
  <si>
    <t>PDA014</t>
  </si>
  <si>
    <t>Automatisation des cartes activa</t>
  </si>
  <si>
    <t>PROFILAGE</t>
  </si>
  <si>
    <t>Profilage</t>
  </si>
  <si>
    <t>STRATDATA</t>
  </si>
  <si>
    <t>Stratégie Data</t>
  </si>
  <si>
    <t>TICK</t>
  </si>
  <si>
    <t>Ticketing</t>
  </si>
  <si>
    <t>Dossier unique - Security / BO Account</t>
  </si>
  <si>
    <t>Dossier unique - Partenaires garants et non garants</t>
  </si>
  <si>
    <t>Segmentation</t>
  </si>
  <si>
    <t>Détermination</t>
  </si>
  <si>
    <t>Parcours autonome</t>
  </si>
  <si>
    <t>Dossier unique - CE - refonte/processus de l'inscription</t>
  </si>
  <si>
    <t>Plan de diversité</t>
  </si>
  <si>
    <t>PARCE-SEG</t>
  </si>
  <si>
    <t>PARCE-DETERM</t>
  </si>
  <si>
    <t>PARCE-PAUTO</t>
  </si>
  <si>
    <t>Information sur le Marché du Travail en RBC / Panorama</t>
  </si>
  <si>
    <t>Wavenet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</si>
</sst>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h&quot; h &quot;mm;@"/>
    <numFmt numFmtId="165" formatCode="[hh]\ &quot;h&quot;\ mm"/>
    <numFmt numFmtId="166" formatCode="[$-80C]mmmm\ yyyy;@"/>
    <numFmt numFmtId="167" formatCode="mmmm\ yyyy"/>
    <numFmt numFmtId="168" formatCode="dd\/mm"/>
    <numFmt numFmtId="169" formatCode="&quot;test&quot;"/>
    <numFmt numFmtId="170" formatCode="0.00\ &quot;jour(s)&quot;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u/>
      <sz val="24"/>
      <name val="Arial"/>
      <family val="2"/>
    </font>
    <font>
      <sz val="18"/>
      <name val="Arial"/>
      <family val="2"/>
    </font>
    <font>
      <b/>
      <sz val="2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u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trike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7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4">
    <xf numFmtId="0" fontId="0" fillId="0" borderId="0" xfId="0"/>
    <xf numFmtId="14" fontId="2" fillId="2" borderId="0" xfId="0" applyNumberFormat="1" applyFont="1" applyFill="1" applyAlignment="1">
      <alignment horizontal="left" vertical="center" wrapText="1"/>
    </xf>
    <xf numFmtId="0" fontId="0" fillId="2" borderId="0" xfId="0" applyFill="1" applyAlignment="1">
      <alignment vertical="center" wrapText="1"/>
    </xf>
    <xf numFmtId="164" fontId="0" fillId="2" borderId="0" xfId="0" applyNumberFormat="1" applyFill="1" applyAlignment="1">
      <alignment vertical="center"/>
    </xf>
    <xf numFmtId="0" fontId="3" fillId="0" borderId="0" xfId="0" applyFont="1"/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2" fillId="2" borderId="14" xfId="0" applyFont="1" applyFill="1" applyBorder="1" applyAlignment="1">
      <alignment vertical="center" wrapText="1"/>
    </xf>
    <xf numFmtId="0" fontId="2" fillId="2" borderId="10" xfId="0" applyFont="1" applyFill="1" applyBorder="1" applyAlignment="1">
      <alignment vertical="center" wrapText="1"/>
    </xf>
    <xf numFmtId="0" fontId="11" fillId="2" borderId="14" xfId="0" applyFont="1" applyFill="1" applyBorder="1" applyAlignment="1">
      <alignment vertical="center" wrapText="1"/>
    </xf>
    <xf numFmtId="0" fontId="2" fillId="2" borderId="15" xfId="0" applyFont="1" applyFill="1" applyBorder="1" applyAlignment="1">
      <alignment vertical="center" wrapText="1"/>
    </xf>
    <xf numFmtId="0" fontId="2" fillId="2" borderId="16" xfId="0" applyFont="1" applyFill="1" applyBorder="1" applyAlignment="1">
      <alignment vertical="center" wrapText="1"/>
    </xf>
    <xf numFmtId="0" fontId="0" fillId="2" borderId="0" xfId="0" applyFill="1" applyAlignment="1">
      <alignment wrapText="1"/>
    </xf>
    <xf numFmtId="0" fontId="2" fillId="2" borderId="9" xfId="0" applyFont="1" applyFill="1" applyBorder="1" applyAlignment="1">
      <alignment wrapText="1"/>
    </xf>
    <xf numFmtId="0" fontId="2" fillId="2" borderId="10" xfId="0" applyFont="1" applyFill="1" applyBorder="1" applyAlignment="1">
      <alignment wrapText="1"/>
    </xf>
    <xf numFmtId="0" fontId="2" fillId="2" borderId="11" xfId="0" applyFont="1" applyFill="1" applyBorder="1" applyAlignment="1">
      <alignment wrapText="1"/>
    </xf>
    <xf numFmtId="0" fontId="2" fillId="2" borderId="12" xfId="0" applyFont="1" applyFill="1" applyBorder="1" applyAlignment="1">
      <alignment wrapText="1"/>
    </xf>
    <xf numFmtId="0" fontId="6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wrapText="1"/>
    </xf>
    <xf numFmtId="0" fontId="7" fillId="2" borderId="9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wrapText="1"/>
    </xf>
    <xf numFmtId="0" fontId="2" fillId="2" borderId="13" xfId="0" applyFont="1" applyFill="1" applyBorder="1" applyAlignment="1">
      <alignment wrapText="1"/>
    </xf>
    <xf numFmtId="0" fontId="2" fillId="2" borderId="16" xfId="0" applyFont="1" applyFill="1" applyBorder="1" applyAlignment="1">
      <alignment wrapText="1"/>
    </xf>
    <xf numFmtId="0" fontId="9" fillId="2" borderId="10" xfId="0" applyFont="1" applyFill="1" applyBorder="1" applyAlignment="1">
      <alignment wrapText="1"/>
    </xf>
    <xf numFmtId="0" fontId="9" fillId="2" borderId="11" xfId="0" applyFont="1" applyFill="1" applyBorder="1" applyAlignment="1">
      <alignment wrapText="1"/>
    </xf>
    <xf numFmtId="0" fontId="10" fillId="2" borderId="12" xfId="0" applyFont="1" applyFill="1" applyBorder="1" applyAlignment="1">
      <alignment wrapText="1"/>
    </xf>
    <xf numFmtId="0" fontId="10" fillId="2" borderId="12" xfId="0" applyFont="1" applyFill="1" applyBorder="1" applyAlignment="1">
      <alignment horizontal="center" wrapText="1"/>
    </xf>
    <xf numFmtId="0" fontId="9" fillId="2" borderId="13" xfId="0" applyFont="1" applyFill="1" applyBorder="1" applyAlignment="1">
      <alignment wrapText="1"/>
    </xf>
    <xf numFmtId="0" fontId="9" fillId="2" borderId="14" xfId="0" applyFont="1" applyFill="1" applyBorder="1" applyAlignment="1">
      <alignment wrapText="1"/>
    </xf>
    <xf numFmtId="0" fontId="2" fillId="2" borderId="17" xfId="0" applyFont="1" applyFill="1" applyBorder="1" applyAlignment="1">
      <alignment wrapText="1"/>
    </xf>
    <xf numFmtId="0" fontId="2" fillId="2" borderId="0" xfId="0" applyFont="1" applyFill="1" applyAlignment="1">
      <alignment vertical="center" wrapText="1"/>
    </xf>
    <xf numFmtId="0" fontId="8" fillId="2" borderId="10" xfId="0" applyFont="1" applyFill="1" applyBorder="1" applyAlignment="1">
      <alignment horizontal="center" wrapText="1"/>
    </xf>
    <xf numFmtId="0" fontId="11" fillId="2" borderId="10" xfId="0" applyFont="1" applyFill="1" applyBorder="1" applyAlignment="1">
      <alignment horizontal="center" wrapText="1"/>
    </xf>
    <xf numFmtId="0" fontId="2" fillId="2" borderId="18" xfId="0" applyFont="1" applyFill="1" applyBorder="1" applyAlignment="1">
      <alignment wrapText="1"/>
    </xf>
    <xf numFmtId="0" fontId="0" fillId="2" borderId="0" xfId="0" applyFill="1"/>
    <xf numFmtId="168" fontId="2" fillId="2" borderId="20" xfId="0" applyNumberFormat="1" applyFont="1" applyFill="1" applyBorder="1" applyAlignment="1">
      <alignment horizontal="center" vertical="center" wrapText="1"/>
    </xf>
    <xf numFmtId="168" fontId="2" fillId="2" borderId="21" xfId="0" applyNumberFormat="1" applyFont="1" applyFill="1" applyBorder="1" applyAlignment="1">
      <alignment horizontal="center" vertical="center" wrapText="1"/>
    </xf>
    <xf numFmtId="168" fontId="2" fillId="2" borderId="22" xfId="0" applyNumberFormat="1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3" borderId="23" xfId="0" applyFill="1" applyBorder="1"/>
    <xf numFmtId="0" fontId="1" fillId="2" borderId="24" xfId="0" applyFont="1" applyFill="1" applyBorder="1"/>
    <xf numFmtId="0" fontId="0" fillId="3" borderId="28" xfId="0" applyFill="1" applyBorder="1"/>
    <xf numFmtId="0" fontId="1" fillId="2" borderId="29" xfId="0" applyFont="1" applyFill="1" applyBorder="1"/>
    <xf numFmtId="0" fontId="0" fillId="3" borderId="33" xfId="0" applyFill="1" applyBorder="1"/>
    <xf numFmtId="0" fontId="1" fillId="2" borderId="34" xfId="0" applyFont="1" applyFill="1" applyBorder="1"/>
    <xf numFmtId="0" fontId="1" fillId="2" borderId="24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164" fontId="0" fillId="2" borderId="25" xfId="0" applyNumberFormat="1" applyFill="1" applyBorder="1" applyAlignment="1">
      <alignment horizontal="center" vertical="center"/>
    </xf>
    <xf numFmtId="164" fontId="0" fillId="2" borderId="26" xfId="0" applyNumberFormat="1" applyFill="1" applyBorder="1" applyAlignment="1">
      <alignment horizontal="center" vertical="center"/>
    </xf>
    <xf numFmtId="164" fontId="0" fillId="2" borderId="27" xfId="0" applyNumberFormat="1" applyFill="1" applyBorder="1" applyAlignment="1">
      <alignment horizontal="center" vertical="center"/>
    </xf>
    <xf numFmtId="164" fontId="0" fillId="2" borderId="30" xfId="0" applyNumberFormat="1" applyFill="1" applyBorder="1" applyAlignment="1">
      <alignment horizontal="center" vertical="center"/>
    </xf>
    <xf numFmtId="164" fontId="0" fillId="2" borderId="31" xfId="0" applyNumberFormat="1" applyFill="1" applyBorder="1" applyAlignment="1">
      <alignment horizontal="center" vertical="center"/>
    </xf>
    <xf numFmtId="164" fontId="0" fillId="2" borderId="32" xfId="0" applyNumberFormat="1" applyFill="1" applyBorder="1" applyAlignment="1">
      <alignment horizontal="center" vertical="center"/>
    </xf>
    <xf numFmtId="164" fontId="0" fillId="2" borderId="35" xfId="0" applyNumberFormat="1" applyFill="1" applyBorder="1" applyAlignment="1">
      <alignment horizontal="center" vertical="center"/>
    </xf>
    <xf numFmtId="164" fontId="0" fillId="2" borderId="36" xfId="0" applyNumberFormat="1" applyFill="1" applyBorder="1" applyAlignment="1">
      <alignment horizontal="center" vertical="center"/>
    </xf>
    <xf numFmtId="164" fontId="0" fillId="2" borderId="37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vertical="center"/>
    </xf>
    <xf numFmtId="0" fontId="0" fillId="4" borderId="4" xfId="0" applyFill="1" applyBorder="1"/>
    <xf numFmtId="0" fontId="0" fillId="4" borderId="6" xfId="0" applyFill="1" applyBorder="1"/>
    <xf numFmtId="167" fontId="16" fillId="3" borderId="3" xfId="0" applyNumberFormat="1" applyFont="1" applyFill="1" applyBorder="1" applyAlignment="1">
      <alignment horizontal="left"/>
    </xf>
    <xf numFmtId="0" fontId="16" fillId="3" borderId="5" xfId="0" applyFont="1" applyFill="1" applyBorder="1"/>
    <xf numFmtId="165" fontId="16" fillId="3" borderId="39" xfId="0" applyNumberFormat="1" applyFont="1" applyFill="1" applyBorder="1" applyAlignment="1">
      <alignment horizontal="left"/>
    </xf>
    <xf numFmtId="164" fontId="16" fillId="5" borderId="7" xfId="0" applyNumberFormat="1" applyFont="1" applyFill="1" applyBorder="1" applyAlignment="1">
      <alignment horizontal="left" vertical="center"/>
    </xf>
    <xf numFmtId="164" fontId="0" fillId="2" borderId="0" xfId="0" applyNumberFormat="1" applyFill="1" applyAlignment="1">
      <alignment horizontal="center"/>
    </xf>
    <xf numFmtId="0" fontId="10" fillId="2" borderId="0" xfId="0" applyFont="1" applyFill="1" applyAlignment="1">
      <alignment wrapText="1"/>
    </xf>
    <xf numFmtId="0" fontId="10" fillId="2" borderId="0" xfId="0" applyFont="1" applyFill="1" applyAlignment="1">
      <alignment horizontal="center" wrapText="1"/>
    </xf>
    <xf numFmtId="0" fontId="13" fillId="2" borderId="0" xfId="0" applyFont="1" applyFill="1"/>
    <xf numFmtId="0" fontId="0" fillId="2" borderId="38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65" fontId="0" fillId="2" borderId="38" xfId="0" applyNumberFormat="1" applyFill="1" applyBorder="1"/>
    <xf numFmtId="165" fontId="0" fillId="2" borderId="6" xfId="0" applyNumberFormat="1" applyFill="1" applyBorder="1"/>
    <xf numFmtId="0" fontId="14" fillId="2" borderId="46" xfId="0" applyFont="1" applyFill="1" applyBorder="1" applyAlignment="1">
      <alignment horizontal="left"/>
    </xf>
    <xf numFmtId="0" fontId="16" fillId="2" borderId="47" xfId="0" applyFont="1" applyFill="1" applyBorder="1" applyAlignment="1">
      <alignment horizontal="left"/>
    </xf>
    <xf numFmtId="0" fontId="0" fillId="2" borderId="47" xfId="0" applyFill="1" applyBorder="1"/>
    <xf numFmtId="0" fontId="16" fillId="2" borderId="48" xfId="0" applyFont="1" applyFill="1" applyBorder="1"/>
    <xf numFmtId="0" fontId="14" fillId="2" borderId="44" xfId="0" applyFont="1" applyFill="1" applyBorder="1" applyAlignment="1">
      <alignment horizontal="left"/>
    </xf>
    <xf numFmtId="0" fontId="16" fillId="2" borderId="0" xfId="0" applyFont="1" applyFill="1" applyAlignment="1">
      <alignment horizontal="left"/>
    </xf>
    <xf numFmtId="0" fontId="16" fillId="2" borderId="49" xfId="0" applyFont="1" applyFill="1" applyBorder="1"/>
    <xf numFmtId="0" fontId="16" fillId="2" borderId="0" xfId="0" applyFont="1" applyFill="1"/>
    <xf numFmtId="164" fontId="16" fillId="2" borderId="49" xfId="0" applyNumberFormat="1" applyFont="1" applyFill="1" applyBorder="1" applyAlignment="1">
      <alignment vertical="center"/>
    </xf>
    <xf numFmtId="0" fontId="0" fillId="2" borderId="49" xfId="0" applyFill="1" applyBorder="1"/>
    <xf numFmtId="0" fontId="14" fillId="2" borderId="50" xfId="0" applyFont="1" applyFill="1" applyBorder="1" applyAlignment="1">
      <alignment horizontal="left"/>
    </xf>
    <xf numFmtId="164" fontId="16" fillId="2" borderId="51" xfId="0" applyNumberFormat="1" applyFont="1" applyFill="1" applyBorder="1" applyAlignment="1">
      <alignment horizontal="left" vertical="center"/>
    </xf>
    <xf numFmtId="0" fontId="0" fillId="2" borderId="51" xfId="0" applyFill="1" applyBorder="1"/>
    <xf numFmtId="0" fontId="0" fillId="2" borderId="52" xfId="0" applyFill="1" applyBorder="1"/>
    <xf numFmtId="0" fontId="0" fillId="2" borderId="7" xfId="0" applyFill="1" applyBorder="1"/>
    <xf numFmtId="0" fontId="0" fillId="2" borderId="3" xfId="0" applyFill="1" applyBorder="1"/>
    <xf numFmtId="0" fontId="13" fillId="2" borderId="5" xfId="0" applyFont="1" applyFill="1" applyBorder="1"/>
    <xf numFmtId="0" fontId="0" fillId="2" borderId="22" xfId="0" applyFill="1" applyBorder="1" applyAlignment="1">
      <alignment horizontal="center"/>
    </xf>
    <xf numFmtId="165" fontId="13" fillId="5" borderId="38" xfId="0" applyNumberFormat="1" applyFont="1" applyFill="1" applyBorder="1"/>
    <xf numFmtId="0" fontId="0" fillId="2" borderId="0" xfId="0" applyFill="1" applyAlignment="1">
      <alignment vertical="top"/>
    </xf>
    <xf numFmtId="0" fontId="0" fillId="4" borderId="4" xfId="0" applyFill="1" applyBorder="1" applyAlignment="1">
      <alignment horizontal="left" vertical="top"/>
    </xf>
    <xf numFmtId="0" fontId="0" fillId="0" borderId="0" xfId="0" applyAlignment="1">
      <alignment vertical="top"/>
    </xf>
    <xf numFmtId="0" fontId="0" fillId="6" borderId="0" xfId="0" applyFill="1"/>
    <xf numFmtId="0" fontId="0" fillId="4" borderId="4" xfId="0" applyFill="1" applyBorder="1" applyAlignment="1">
      <alignment horizontal="left"/>
    </xf>
    <xf numFmtId="0" fontId="13" fillId="2" borderId="0" xfId="0" applyFont="1" applyFill="1" applyAlignment="1">
      <alignment vertical="center" wrapText="1"/>
    </xf>
    <xf numFmtId="0" fontId="0" fillId="2" borderId="0" xfId="0" applyFill="1" applyAlignment="1">
      <alignment horizontal="left" vertical="top" wrapText="1"/>
    </xf>
    <xf numFmtId="169" fontId="16" fillId="3" borderId="3" xfId="0" applyNumberFormat="1" applyFont="1" applyFill="1" applyBorder="1"/>
    <xf numFmtId="10" fontId="1" fillId="2" borderId="1" xfId="0" applyNumberFormat="1" applyFont="1" applyFill="1" applyBorder="1"/>
    <xf numFmtId="0" fontId="1" fillId="2" borderId="55" xfId="0" applyFont="1" applyFill="1" applyBorder="1"/>
    <xf numFmtId="165" fontId="0" fillId="2" borderId="55" xfId="0" applyNumberFormat="1" applyFill="1" applyBorder="1"/>
    <xf numFmtId="10" fontId="1" fillId="2" borderId="59" xfId="0" applyNumberFormat="1" applyFont="1" applyFill="1" applyBorder="1"/>
    <xf numFmtId="0" fontId="1" fillId="2" borderId="60" xfId="0" applyFont="1" applyFill="1" applyBorder="1"/>
    <xf numFmtId="165" fontId="0" fillId="2" borderId="60" xfId="0" applyNumberFormat="1" applyFill="1" applyBorder="1"/>
    <xf numFmtId="10" fontId="1" fillId="2" borderId="64" xfId="0" applyNumberFormat="1" applyFont="1" applyFill="1" applyBorder="1"/>
    <xf numFmtId="0" fontId="1" fillId="2" borderId="65" xfId="0" applyFont="1" applyFill="1" applyBorder="1"/>
    <xf numFmtId="165" fontId="0" fillId="2" borderId="65" xfId="0" applyNumberFormat="1" applyFill="1" applyBorder="1"/>
    <xf numFmtId="10" fontId="1" fillId="2" borderId="69" xfId="0" applyNumberFormat="1" applyFont="1" applyFill="1" applyBorder="1"/>
    <xf numFmtId="170" fontId="0" fillId="5" borderId="22" xfId="0" applyNumberFormat="1" applyFill="1" applyBorder="1"/>
    <xf numFmtId="170" fontId="0" fillId="5" borderId="58" xfId="0" applyNumberFormat="1" applyFill="1" applyBorder="1"/>
    <xf numFmtId="170" fontId="0" fillId="5" borderId="63" xfId="0" applyNumberFormat="1" applyFill="1" applyBorder="1"/>
    <xf numFmtId="170" fontId="0" fillId="5" borderId="68" xfId="0" applyNumberFormat="1" applyFill="1" applyBorder="1"/>
    <xf numFmtId="170" fontId="0" fillId="2" borderId="53" xfId="0" applyNumberFormat="1" applyFill="1" applyBorder="1"/>
    <xf numFmtId="170" fontId="13" fillId="5" borderId="22" xfId="0" applyNumberFormat="1" applyFont="1" applyFill="1" applyBorder="1"/>
    <xf numFmtId="0" fontId="0" fillId="0" borderId="0" xfId="0" applyAlignment="1">
      <alignment vertical="center" wrapText="1"/>
    </xf>
    <xf numFmtId="0" fontId="18" fillId="0" borderId="0" xfId="0" applyFont="1" applyAlignment="1">
      <alignment vertical="center" wrapText="1"/>
    </xf>
    <xf numFmtId="0" fontId="18" fillId="0" borderId="0" xfId="0" applyFont="1"/>
    <xf numFmtId="0" fontId="19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0" fillId="4" borderId="2" xfId="0" applyFill="1" applyBorder="1" applyAlignment="1">
      <alignment horizontal="left"/>
    </xf>
    <xf numFmtId="0" fontId="0" fillId="4" borderId="41" xfId="0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0" fillId="4" borderId="0" xfId="0" applyFill="1" applyAlignment="1">
      <alignment horizontal="left" vertical="top" wrapText="1"/>
    </xf>
    <xf numFmtId="0" fontId="0" fillId="4" borderId="5" xfId="0" applyFill="1" applyBorder="1" applyAlignment="1">
      <alignment horizontal="left" vertical="top" wrapText="1"/>
    </xf>
    <xf numFmtId="0" fontId="0" fillId="4" borderId="4" xfId="0" applyFill="1" applyBorder="1" applyAlignment="1">
      <alignment horizontal="left"/>
    </xf>
    <xf numFmtId="0" fontId="0" fillId="4" borderId="0" xfId="0" applyFill="1" applyAlignment="1">
      <alignment horizontal="left"/>
    </xf>
    <xf numFmtId="0" fontId="0" fillId="4" borderId="5" xfId="0" applyFill="1" applyBorder="1" applyAlignment="1">
      <alignment horizontal="left"/>
    </xf>
    <xf numFmtId="0" fontId="0" fillId="2" borderId="38" xfId="0" applyFill="1" applyBorder="1" applyAlignment="1">
      <alignment horizontal="left"/>
    </xf>
    <xf numFmtId="0" fontId="0" fillId="2" borderId="54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41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2" borderId="6" xfId="0" applyFill="1" applyBorder="1" applyAlignment="1">
      <alignment horizontal="left"/>
    </xf>
    <xf numFmtId="0" fontId="0" fillId="2" borderId="40" xfId="0" applyFill="1" applyBorder="1" applyAlignment="1">
      <alignment horizontal="left"/>
    </xf>
    <xf numFmtId="0" fontId="0" fillId="4" borderId="40" xfId="0" applyFill="1" applyBorder="1" applyAlignment="1">
      <alignment horizontal="left" vertical="top" wrapText="1"/>
    </xf>
    <xf numFmtId="0" fontId="0" fillId="4" borderId="7" xfId="0" applyFill="1" applyBorder="1" applyAlignment="1">
      <alignment horizontal="left" vertical="top" wrapText="1"/>
    </xf>
    <xf numFmtId="0" fontId="8" fillId="2" borderId="19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wrapText="1"/>
    </xf>
    <xf numFmtId="0" fontId="2" fillId="2" borderId="19" xfId="0" applyFont="1" applyFill="1" applyBorder="1" applyAlignment="1">
      <alignment horizontal="center" wrapText="1"/>
    </xf>
    <xf numFmtId="0" fontId="4" fillId="2" borderId="12" xfId="0" applyFont="1" applyFill="1" applyBorder="1" applyAlignment="1">
      <alignment horizontal="center" wrapText="1"/>
    </xf>
    <xf numFmtId="0" fontId="4" fillId="2" borderId="13" xfId="0" applyFont="1" applyFill="1" applyBorder="1" applyAlignment="1">
      <alignment horizontal="center" wrapText="1"/>
    </xf>
    <xf numFmtId="166" fontId="5" fillId="2" borderId="9" xfId="0" applyNumberFormat="1" applyFont="1" applyFill="1" applyBorder="1" applyAlignment="1">
      <alignment horizontal="center" vertical="top" wrapText="1"/>
    </xf>
    <xf numFmtId="166" fontId="5" fillId="2" borderId="16" xfId="0" applyNumberFormat="1" applyFont="1" applyFill="1" applyBorder="1" applyAlignment="1">
      <alignment horizontal="center" vertical="top" wrapText="1"/>
    </xf>
    <xf numFmtId="0" fontId="12" fillId="2" borderId="0" xfId="0" applyFont="1" applyFill="1" applyAlignment="1">
      <alignment horizontal="left" wrapText="1"/>
    </xf>
    <xf numFmtId="0" fontId="2" fillId="2" borderId="0" xfId="0" applyFont="1" applyFill="1" applyAlignment="1">
      <alignment vertical="center" wrapText="1"/>
    </xf>
    <xf numFmtId="0" fontId="8" fillId="2" borderId="0" xfId="0" applyFont="1" applyFill="1" applyAlignment="1">
      <alignment horizontal="center" wrapText="1"/>
    </xf>
    <xf numFmtId="0" fontId="0" fillId="2" borderId="0" xfId="0" applyFill="1" applyAlignment="1">
      <alignment wrapText="1"/>
    </xf>
    <xf numFmtId="0" fontId="11" fillId="2" borderId="9" xfId="0" applyFont="1" applyFill="1" applyBorder="1" applyAlignment="1">
      <alignment horizontal="center" wrapText="1"/>
    </xf>
    <xf numFmtId="0" fontId="2" fillId="2" borderId="9" xfId="0" applyFont="1" applyFill="1" applyBorder="1" applyAlignment="1">
      <alignment wrapText="1"/>
    </xf>
    <xf numFmtId="0" fontId="0" fillId="2" borderId="0" xfId="0" applyFill="1" applyAlignment="1">
      <alignment horizontal="left" vertical="top" wrapText="1"/>
    </xf>
    <xf numFmtId="0" fontId="7" fillId="2" borderId="0" xfId="0" applyFont="1" applyFill="1" applyAlignment="1">
      <alignment vertical="center" wrapText="1"/>
    </xf>
    <xf numFmtId="0" fontId="13" fillId="2" borderId="0" xfId="0" applyFont="1" applyFill="1" applyAlignment="1">
      <alignment vertical="center" wrapText="1"/>
    </xf>
    <xf numFmtId="165" fontId="2" fillId="2" borderId="42" xfId="0" applyNumberFormat="1" applyFont="1" applyFill="1" applyBorder="1" applyAlignment="1">
      <alignment horizontal="right" vertical="center" wrapText="1"/>
    </xf>
    <xf numFmtId="165" fontId="2" fillId="2" borderId="43" xfId="0" applyNumberFormat="1" applyFont="1" applyFill="1" applyBorder="1" applyAlignment="1">
      <alignment horizontal="right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0" fillId="2" borderId="61" xfId="0" applyFill="1" applyBorder="1" applyAlignment="1">
      <alignment horizontal="left"/>
    </xf>
    <xf numFmtId="0" fontId="0" fillId="2" borderId="62" xfId="0" applyFill="1" applyBorder="1" applyAlignment="1">
      <alignment horizontal="left"/>
    </xf>
    <xf numFmtId="0" fontId="0" fillId="2" borderId="56" xfId="0" applyFill="1" applyBorder="1" applyAlignment="1">
      <alignment horizontal="left"/>
    </xf>
    <xf numFmtId="0" fontId="0" fillId="2" borderId="57" xfId="0" applyFill="1" applyBorder="1" applyAlignment="1">
      <alignment horizontal="left"/>
    </xf>
    <xf numFmtId="0" fontId="0" fillId="2" borderId="66" xfId="0" applyFill="1" applyBorder="1" applyAlignment="1">
      <alignment horizontal="left"/>
    </xf>
    <xf numFmtId="0" fontId="0" fillId="2" borderId="67" xfId="0" applyFill="1" applyBorder="1" applyAlignment="1">
      <alignment horizontal="left"/>
    </xf>
    <xf numFmtId="0" fontId="0" fillId="2" borderId="39" xfId="0" applyFill="1" applyBorder="1" applyAlignment="1">
      <alignment horizontal="left"/>
    </xf>
    <xf numFmtId="0" fontId="13" fillId="2" borderId="38" xfId="0" applyFont="1" applyFill="1" applyBorder="1" applyAlignment="1">
      <alignment horizontal="left"/>
    </xf>
    <xf numFmtId="0" fontId="13" fillId="2" borderId="39" xfId="0" applyFont="1" applyFill="1" applyBorder="1" applyAlignment="1">
      <alignment horizontal="left"/>
    </xf>
    <xf numFmtId="167" fontId="15" fillId="2" borderId="42" xfId="0" applyNumberFormat="1" applyFont="1" applyFill="1" applyBorder="1" applyAlignment="1">
      <alignment horizontal="center"/>
    </xf>
    <xf numFmtId="167" fontId="15" fillId="2" borderId="45" xfId="0" applyNumberFormat="1" applyFont="1" applyFill="1" applyBorder="1" applyAlignment="1">
      <alignment horizontal="center"/>
    </xf>
    <xf numFmtId="167" fontId="15" fillId="2" borderId="43" xfId="0" applyNumberFormat="1" applyFont="1" applyFill="1" applyBorder="1" applyAlignment="1">
      <alignment horizontal="center"/>
    </xf>
  </cellXfs>
  <cellStyles count="1">
    <cellStyle name="Normal" xfId="0" builtinId="0"/>
  </cellStyles>
  <dxfs count="8">
    <dxf>
      <numFmt numFmtId="171" formatCode="0\ \ &quot;jour(s)&quot;"/>
    </dxf>
    <dxf>
      <font>
        <color theme="0" tint="-0.499984740745262"/>
      </font>
      <fill>
        <patternFill>
          <bgColor theme="0" tint="-0.14996795556505021"/>
        </patternFill>
      </fill>
    </dxf>
    <dxf>
      <fill>
        <patternFill>
          <bgColor theme="9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ill>
        <patternFill>
          <bgColor rgb="FF66FF33"/>
        </patternFill>
      </fill>
    </dxf>
    <dxf>
      <fill>
        <patternFill>
          <bgColor rgb="FFFF5050"/>
        </patternFill>
      </fill>
    </dxf>
    <dxf>
      <numFmt numFmtId="172" formatCode="&quot;[heures]:[minutes]&quot;"/>
    </dxf>
    <dxf>
      <numFmt numFmtId="173" formatCode="&quot;[mois]/[année]&quot;"/>
    </dxf>
  </dxfs>
  <tableStyles count="0" defaultTableStyle="TableStyleMedium2" defaultPivotStyle="PivotStyleLight16"/>
  <colors>
    <mruColors>
      <color rgb="FFFF5050"/>
      <color rgb="FF66FF33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1</xdr:row>
      <xdr:rowOff>66676</xdr:rowOff>
    </xdr:from>
    <xdr:to>
      <xdr:col>5</xdr:col>
      <xdr:colOff>123825</xdr:colOff>
      <xdr:row>2</xdr:row>
      <xdr:rowOff>368476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8233E7E-581B-47E6-8171-9B49DFC68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257176"/>
          <a:ext cx="1552575" cy="768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EC4EE-AC4C-4AAA-B056-D5CBC744E76C}">
  <dimension ref="A1:AL64"/>
  <sheetViews>
    <sheetView tabSelected="1" workbookViewId="0">
      <selection activeCell="D19" sqref="D19"/>
    </sheetView>
  </sheetViews>
  <sheetFormatPr defaultColWidth="0" defaultRowHeight="15" zeroHeight="1" x14ac:dyDescent="0.25"/>
  <cols>
    <col min="1" max="1" width="3" style="34" customWidth="1"/>
    <col min="2" max="2" width="3.42578125" customWidth="1"/>
    <col min="3" max="3" width="29.5703125" customWidth="1"/>
    <col min="4" max="4" width="65.85546875" customWidth="1"/>
    <col min="5" max="5" width="3.42578125" style="34" customWidth="1"/>
    <col min="6" max="38" width="0" hidden="1" customWidth="1"/>
    <col min="39" max="16384" width="9.140625" hidden="1"/>
  </cols>
  <sheetData>
    <row r="1" spans="1:34" s="34" customFormat="1" ht="15.75" thickBot="1" x14ac:dyDescent="0.3"/>
    <row r="2" spans="1:34" x14ac:dyDescent="0.25">
      <c r="B2" s="124" t="s">
        <v>0</v>
      </c>
      <c r="C2" s="125"/>
      <c r="D2" s="126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</row>
    <row r="3" spans="1:34" x14ac:dyDescent="0.25">
      <c r="B3" s="99"/>
      <c r="C3" s="130" t="s">
        <v>1</v>
      </c>
      <c r="D3" s="13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</row>
    <row r="4" spans="1:34" x14ac:dyDescent="0.25">
      <c r="B4" s="99"/>
      <c r="C4" s="130" t="s">
        <v>2</v>
      </c>
      <c r="D4" s="13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</row>
    <row r="5" spans="1:34" ht="32.25" customHeight="1" x14ac:dyDescent="0.25">
      <c r="B5" s="62"/>
      <c r="C5" s="127" t="s">
        <v>3</v>
      </c>
      <c r="D5" s="128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</row>
    <row r="6" spans="1:34" x14ac:dyDescent="0.25">
      <c r="B6" s="129" t="s">
        <v>4</v>
      </c>
      <c r="C6" s="130"/>
      <c r="D6" s="13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</row>
    <row r="7" spans="1:34" s="97" customFormat="1" ht="46.5" customHeight="1" x14ac:dyDescent="0.25">
      <c r="A7" s="95"/>
      <c r="B7" s="96"/>
      <c r="C7" s="127" t="s">
        <v>5</v>
      </c>
      <c r="D7" s="128"/>
      <c r="E7" s="95"/>
    </row>
    <row r="8" spans="1:34" x14ac:dyDescent="0.25">
      <c r="B8" s="99"/>
      <c r="C8" s="130" t="s">
        <v>6</v>
      </c>
      <c r="D8" s="13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</row>
    <row r="9" spans="1:34" x14ac:dyDescent="0.25">
      <c r="B9" s="62"/>
      <c r="C9" s="127" t="s">
        <v>7</v>
      </c>
      <c r="D9" s="128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</row>
    <row r="10" spans="1:34" x14ac:dyDescent="0.25">
      <c r="B10" s="129" t="s">
        <v>8</v>
      </c>
      <c r="C10" s="130"/>
      <c r="D10" s="13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</row>
    <row r="11" spans="1:34" ht="31.5" customHeight="1" thickBot="1" x14ac:dyDescent="0.3">
      <c r="B11" s="63"/>
      <c r="C11" s="140" t="s">
        <v>9</v>
      </c>
      <c r="D11" s="14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</row>
    <row r="12" spans="1:34" s="34" customFormat="1" ht="15.75" thickBot="1" x14ac:dyDescent="0.3"/>
    <row r="13" spans="1:34" ht="19.5" thickBot="1" x14ac:dyDescent="0.35">
      <c r="B13" s="132" t="s">
        <v>10</v>
      </c>
      <c r="C13" s="133"/>
      <c r="D13" s="64">
        <v>0</v>
      </c>
    </row>
    <row r="14" spans="1:34" ht="18.75" x14ac:dyDescent="0.3">
      <c r="B14" s="134" t="s">
        <v>11</v>
      </c>
      <c r="C14" s="135"/>
      <c r="D14" s="102"/>
    </row>
    <row r="15" spans="1:34" ht="18.75" x14ac:dyDescent="0.3">
      <c r="B15" s="136" t="s">
        <v>12</v>
      </c>
      <c r="C15" s="137"/>
      <c r="D15" s="65"/>
    </row>
    <row r="16" spans="1:34" ht="18.75" x14ac:dyDescent="0.3">
      <c r="B16" s="136" t="s">
        <v>13</v>
      </c>
      <c r="C16" s="137"/>
      <c r="D16" s="65" t="s">
        <v>18</v>
      </c>
    </row>
    <row r="17" spans="2:4" ht="19.5" thickBot="1" x14ac:dyDescent="0.35">
      <c r="B17" s="138" t="s">
        <v>14</v>
      </c>
      <c r="C17" s="139"/>
      <c r="D17" s="65" t="s">
        <v>160</v>
      </c>
    </row>
    <row r="18" spans="2:4" ht="19.5" thickBot="1" x14ac:dyDescent="0.35">
      <c r="B18" s="132" t="s">
        <v>15</v>
      </c>
      <c r="C18" s="133"/>
      <c r="D18" s="66">
        <v>1.6666666666666667</v>
      </c>
    </row>
    <row r="19" spans="2:4" s="34" customFormat="1" ht="19.5" thickBot="1" x14ac:dyDescent="0.3">
      <c r="B19" s="132" t="s">
        <v>16</v>
      </c>
      <c r="C19" s="133"/>
      <c r="D19" s="67">
        <f>IF(D18=0,"",D18/5)</f>
        <v>0.33333333333333337</v>
      </c>
    </row>
    <row r="20" spans="2:4" s="34" customFormat="1" x14ac:dyDescent="0.25"/>
    <row r="21" spans="2:4" s="34" customFormat="1" hidden="1" x14ac:dyDescent="0.25"/>
    <row r="22" spans="2:4" s="34" customFormat="1" hidden="1" x14ac:dyDescent="0.25"/>
    <row r="23" spans="2:4" s="34" customFormat="1" hidden="1" x14ac:dyDescent="0.25"/>
    <row r="24" spans="2:4" s="34" customFormat="1" hidden="1" x14ac:dyDescent="0.25"/>
    <row r="25" spans="2:4" s="34" customFormat="1" hidden="1" x14ac:dyDescent="0.25"/>
    <row r="26" spans="2:4" s="34" customFormat="1" hidden="1" x14ac:dyDescent="0.25"/>
    <row r="27" spans="2:4" s="34" customFormat="1" hidden="1" x14ac:dyDescent="0.25"/>
    <row r="28" spans="2:4" s="34" customFormat="1" hidden="1" x14ac:dyDescent="0.25"/>
    <row r="29" spans="2:4" s="34" customFormat="1" hidden="1" x14ac:dyDescent="0.25"/>
    <row r="30" spans="2:4" s="34" customFormat="1" hidden="1" x14ac:dyDescent="0.25"/>
    <row r="31" spans="2:4" s="34" customFormat="1" hidden="1" x14ac:dyDescent="0.25"/>
    <row r="32" spans="2:4" s="34" customFormat="1" hidden="1" x14ac:dyDescent="0.25"/>
    <row r="33" spans="4:4" s="34" customFormat="1" hidden="1" x14ac:dyDescent="0.25"/>
    <row r="34" spans="4:4" s="34" customFormat="1" hidden="1" x14ac:dyDescent="0.25">
      <c r="D34" s="34" t="s">
        <v>17</v>
      </c>
    </row>
    <row r="35" spans="4:4" s="34" customFormat="1" hidden="1" x14ac:dyDescent="0.25">
      <c r="D35" s="34" t="s">
        <v>18</v>
      </c>
    </row>
    <row r="36" spans="4:4" s="34" customFormat="1" hidden="1" x14ac:dyDescent="0.25"/>
    <row r="37" spans="4:4" s="34" customFormat="1" hidden="1" x14ac:dyDescent="0.25"/>
    <row r="38" spans="4:4" s="34" customFormat="1" hidden="1" x14ac:dyDescent="0.25"/>
    <row r="39" spans="4:4" s="34" customFormat="1" hidden="1" x14ac:dyDescent="0.25"/>
    <row r="40" spans="4:4" s="34" customFormat="1" hidden="1" x14ac:dyDescent="0.25"/>
    <row r="41" spans="4:4" s="34" customFormat="1" hidden="1" x14ac:dyDescent="0.25"/>
    <row r="42" spans="4:4" s="34" customFormat="1" hidden="1" x14ac:dyDescent="0.25"/>
    <row r="43" spans="4:4" s="34" customFormat="1" hidden="1" x14ac:dyDescent="0.25"/>
    <row r="44" spans="4:4" s="34" customFormat="1" hidden="1" x14ac:dyDescent="0.25"/>
    <row r="45" spans="4:4" s="34" customFormat="1" hidden="1" x14ac:dyDescent="0.25"/>
    <row r="46" spans="4:4" s="34" customFormat="1" hidden="1" x14ac:dyDescent="0.25"/>
    <row r="47" spans="4:4" s="34" customFormat="1" hidden="1" x14ac:dyDescent="0.25"/>
    <row r="48" spans="4:4" s="34" customFormat="1" hidden="1" x14ac:dyDescent="0.25"/>
    <row r="49" s="34" customFormat="1" hidden="1" x14ac:dyDescent="0.25"/>
    <row r="50" s="34" customFormat="1" hidden="1" x14ac:dyDescent="0.25"/>
    <row r="51" s="34" customFormat="1" hidden="1" x14ac:dyDescent="0.25"/>
    <row r="52" s="34" customFormat="1" hidden="1" x14ac:dyDescent="0.25"/>
    <row r="53" s="34" customFormat="1" hidden="1" x14ac:dyDescent="0.25"/>
    <row r="54" s="34" customFormat="1" hidden="1" x14ac:dyDescent="0.25"/>
    <row r="55" s="34" customFormat="1" hidden="1" x14ac:dyDescent="0.25"/>
    <row r="56" s="34" customFormat="1" hidden="1" x14ac:dyDescent="0.25"/>
    <row r="57" s="34" customFormat="1" hidden="1" x14ac:dyDescent="0.25"/>
    <row r="58" s="34" customFormat="1" hidden="1" x14ac:dyDescent="0.25"/>
    <row r="59" s="34" customFormat="1" hidden="1" x14ac:dyDescent="0.25"/>
    <row r="60" s="34" customFormat="1" hidden="1" x14ac:dyDescent="0.25"/>
    <row r="61" s="34" customFormat="1" hidden="1" x14ac:dyDescent="0.25"/>
    <row r="62" s="34" customFormat="1" hidden="1" x14ac:dyDescent="0.25"/>
    <row r="63" s="34" customFormat="1" hidden="1" x14ac:dyDescent="0.25"/>
    <row r="64" s="34" customFormat="1" hidden="1" x14ac:dyDescent="0.25"/>
  </sheetData>
  <mergeCells count="17">
    <mergeCell ref="B18:C18"/>
    <mergeCell ref="B19:C19"/>
    <mergeCell ref="C7:D7"/>
    <mergeCell ref="C8:D8"/>
    <mergeCell ref="B13:C13"/>
    <mergeCell ref="B14:C14"/>
    <mergeCell ref="B15:C15"/>
    <mergeCell ref="B16:C16"/>
    <mergeCell ref="B17:C17"/>
    <mergeCell ref="B10:D10"/>
    <mergeCell ref="C11:D11"/>
    <mergeCell ref="B2:D2"/>
    <mergeCell ref="C5:D5"/>
    <mergeCell ref="C9:D9"/>
    <mergeCell ref="B6:D6"/>
    <mergeCell ref="C3:D3"/>
    <mergeCell ref="C4:D4"/>
  </mergeCells>
  <conditionalFormatting sqref="D13">
    <cfRule type="expression" dxfId="7" priority="2">
      <formula>D13=0</formula>
    </cfRule>
  </conditionalFormatting>
  <conditionalFormatting sqref="D18">
    <cfRule type="expression" dxfId="6" priority="1">
      <formula>D18=0</formula>
    </cfRule>
  </conditionalFormatting>
  <dataValidations count="1">
    <dataValidation type="list" allowBlank="1" showInputMessage="1" showErrorMessage="1" sqref="D16" xr:uid="{76B6E132-8E58-4568-8C90-C0C7EF26FD05}">
      <formula1>$D$34:$D$35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187C1-7D96-4BCF-AD52-481055EFB1E2}">
  <dimension ref="A1:AL140"/>
  <sheetViews>
    <sheetView workbookViewId="0">
      <pane xSplit="3" ySplit="2" topLeftCell="D7" activePane="bottomRight" state="frozen"/>
      <selection pane="topRight" activeCell="C1" sqref="C1"/>
      <selection pane="bottomLeft" activeCell="A5" sqref="A5"/>
      <selection pane="bottomRight" activeCell="C8" sqref="C8"/>
    </sheetView>
  </sheetViews>
  <sheetFormatPr defaultColWidth="0" defaultRowHeight="15" zeroHeight="1" x14ac:dyDescent="0.25"/>
  <cols>
    <col min="1" max="1" width="2.7109375" style="34" customWidth="1"/>
    <col min="2" max="2" width="11.42578125" bestFit="1" customWidth="1"/>
    <col min="3" max="3" width="36.28515625" customWidth="1"/>
    <col min="4" max="34" width="6.140625" style="59" customWidth="1"/>
    <col min="35" max="35" width="3.28515625" style="34" customWidth="1"/>
    <col min="36" max="38" width="0" style="34" hidden="1" customWidth="1"/>
    <col min="39" max="16384" width="9.140625" hidden="1"/>
  </cols>
  <sheetData>
    <row r="1" spans="2:35" s="34" customFormat="1" ht="15.75" thickBot="1" x14ac:dyDescent="0.3"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</row>
    <row r="2" spans="2:35" ht="30.75" thickBot="1" x14ac:dyDescent="0.3">
      <c r="B2" s="5" t="s">
        <v>19</v>
      </c>
      <c r="C2" s="6" t="s">
        <v>20</v>
      </c>
      <c r="D2" s="35">
        <f>Configuration!D13</f>
        <v>0</v>
      </c>
      <c r="E2" s="36">
        <f t="shared" ref="E2:AE2" si="0">D2+1</f>
        <v>1</v>
      </c>
      <c r="F2" s="36">
        <f t="shared" si="0"/>
        <v>2</v>
      </c>
      <c r="G2" s="36">
        <f t="shared" si="0"/>
        <v>3</v>
      </c>
      <c r="H2" s="36">
        <f t="shared" si="0"/>
        <v>4</v>
      </c>
      <c r="I2" s="36">
        <f t="shared" si="0"/>
        <v>5</v>
      </c>
      <c r="J2" s="36">
        <f t="shared" si="0"/>
        <v>6</v>
      </c>
      <c r="K2" s="36">
        <f t="shared" si="0"/>
        <v>7</v>
      </c>
      <c r="L2" s="36">
        <f t="shared" si="0"/>
        <v>8</v>
      </c>
      <c r="M2" s="36">
        <f t="shared" si="0"/>
        <v>9</v>
      </c>
      <c r="N2" s="36">
        <f t="shared" si="0"/>
        <v>10</v>
      </c>
      <c r="O2" s="36">
        <f t="shared" si="0"/>
        <v>11</v>
      </c>
      <c r="P2" s="36">
        <f t="shared" si="0"/>
        <v>12</v>
      </c>
      <c r="Q2" s="36">
        <f t="shared" si="0"/>
        <v>13</v>
      </c>
      <c r="R2" s="36">
        <f t="shared" si="0"/>
        <v>14</v>
      </c>
      <c r="S2" s="36">
        <f t="shared" si="0"/>
        <v>15</v>
      </c>
      <c r="T2" s="36">
        <f t="shared" si="0"/>
        <v>16</v>
      </c>
      <c r="U2" s="36">
        <f t="shared" si="0"/>
        <v>17</v>
      </c>
      <c r="V2" s="36">
        <f t="shared" si="0"/>
        <v>18</v>
      </c>
      <c r="W2" s="36">
        <f t="shared" si="0"/>
        <v>19</v>
      </c>
      <c r="X2" s="36">
        <f t="shared" si="0"/>
        <v>20</v>
      </c>
      <c r="Y2" s="36">
        <f t="shared" si="0"/>
        <v>21</v>
      </c>
      <c r="Z2" s="36">
        <f t="shared" si="0"/>
        <v>22</v>
      </c>
      <c r="AA2" s="36">
        <f t="shared" si="0"/>
        <v>23</v>
      </c>
      <c r="AB2" s="36">
        <f t="shared" si="0"/>
        <v>24</v>
      </c>
      <c r="AC2" s="36">
        <f t="shared" si="0"/>
        <v>25</v>
      </c>
      <c r="AD2" s="36">
        <f t="shared" si="0"/>
        <v>26</v>
      </c>
      <c r="AE2" s="36">
        <f t="shared" si="0"/>
        <v>27</v>
      </c>
      <c r="AF2" s="36">
        <f>IF(AF131,AE2+1,"")</f>
        <v>28</v>
      </c>
      <c r="AG2" s="36">
        <f>IF(AG131,AF2+1,"")</f>
        <v>29</v>
      </c>
      <c r="AH2" s="37">
        <f>IF(AH131,AG2+1,"")</f>
        <v>30</v>
      </c>
      <c r="AI2" s="2"/>
    </row>
    <row r="3" spans="2:35" x14ac:dyDescent="0.25">
      <c r="B3" s="38"/>
      <c r="C3" s="47" t="s">
        <v>21</v>
      </c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2"/>
      <c r="AI3" s="2"/>
    </row>
    <row r="4" spans="2:35" x14ac:dyDescent="0.25">
      <c r="B4" s="39"/>
      <c r="C4" s="48" t="s">
        <v>22</v>
      </c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5"/>
      <c r="AI4" s="2"/>
    </row>
    <row r="5" spans="2:35" x14ac:dyDescent="0.25">
      <c r="B5" s="39"/>
      <c r="C5" s="48" t="s">
        <v>23</v>
      </c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5"/>
      <c r="AI5" s="2"/>
    </row>
    <row r="6" spans="2:35" ht="15.75" thickBot="1" x14ac:dyDescent="0.3">
      <c r="B6" s="40"/>
      <c r="C6" s="49" t="s">
        <v>24</v>
      </c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8"/>
      <c r="AI6" s="2"/>
    </row>
    <row r="7" spans="2:35" x14ac:dyDescent="0.25">
      <c r="B7" s="41"/>
      <c r="C7" s="42" t="str">
        <f>IF(ISBLANK(B7),"",VLOOKUP(B7,'Codes projet'!$A$2:$B$802,2,FALSE))</f>
        <v/>
      </c>
      <c r="D7" s="50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2"/>
    </row>
    <row r="8" spans="2:35" x14ac:dyDescent="0.25">
      <c r="B8" s="43"/>
      <c r="C8" s="44" t="str">
        <f>IF(ISBLANK(B8),"",VLOOKUP(B8,'Codes projet'!$A$2:$B$802,2,FALSE))</f>
        <v/>
      </c>
      <c r="D8" s="53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5"/>
    </row>
    <row r="9" spans="2:35" x14ac:dyDescent="0.25">
      <c r="B9" s="43"/>
      <c r="C9" s="44" t="str">
        <f>IF(ISBLANK(B9),"",VLOOKUP(B9,'Codes projet'!$A$2:$B$802,2,FALSE))</f>
        <v/>
      </c>
      <c r="D9" s="53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5"/>
    </row>
    <row r="10" spans="2:35" x14ac:dyDescent="0.25">
      <c r="B10" s="43"/>
      <c r="C10" s="44" t="str">
        <f>IF(ISBLANK(B10),"",VLOOKUP(B10,'Codes projet'!$A$2:$B$802,2,FALSE))</f>
        <v/>
      </c>
      <c r="D10" s="53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5"/>
    </row>
    <row r="11" spans="2:35" x14ac:dyDescent="0.25">
      <c r="B11" s="43"/>
      <c r="C11" s="44" t="str">
        <f>IF(ISBLANK(B11),"",VLOOKUP(B11,'Codes projet'!$A$2:$B$802,2,FALSE))</f>
        <v/>
      </c>
      <c r="D11" s="53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5"/>
    </row>
    <row r="12" spans="2:35" x14ac:dyDescent="0.25">
      <c r="B12" s="43"/>
      <c r="C12" s="44" t="str">
        <f>IF(ISBLANK(B12),"",VLOOKUP(B12,'Codes projet'!$A$2:$B$802,2,FALSE))</f>
        <v/>
      </c>
      <c r="D12" s="53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5"/>
    </row>
    <row r="13" spans="2:35" x14ac:dyDescent="0.25">
      <c r="B13" s="43"/>
      <c r="C13" s="44" t="str">
        <f>IF(ISBLANK(B13),"",VLOOKUP(B13,'Codes projet'!$A$2:$B$802,2,FALSE))</f>
        <v/>
      </c>
      <c r="D13" s="53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5"/>
    </row>
    <row r="14" spans="2:35" x14ac:dyDescent="0.25">
      <c r="B14" s="43"/>
      <c r="C14" s="44" t="str">
        <f>IF(ISBLANK(B14),"",VLOOKUP(B14,'Codes projet'!$A$2:$B$802,2,FALSE))</f>
        <v/>
      </c>
      <c r="D14" s="53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5"/>
    </row>
    <row r="15" spans="2:35" x14ac:dyDescent="0.25">
      <c r="B15" s="43"/>
      <c r="C15" s="44" t="str">
        <f>IF(ISBLANK(B15),"",VLOOKUP(B15,'Codes projet'!$A$2:$B$802,2,FALSE))</f>
        <v/>
      </c>
      <c r="D15" s="53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5"/>
    </row>
    <row r="16" spans="2:35" x14ac:dyDescent="0.25">
      <c r="B16" s="43"/>
      <c r="C16" s="44" t="str">
        <f>IF(ISBLANK(B16),"",VLOOKUP(B16,'Codes projet'!$A$2:$B$802,2,FALSE))</f>
        <v/>
      </c>
      <c r="D16" s="53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5"/>
    </row>
    <row r="17" spans="2:34" x14ac:dyDescent="0.25">
      <c r="B17" s="43"/>
      <c r="C17" s="44" t="str">
        <f>IF(ISBLANK(B17),"",VLOOKUP(B17,'Codes projet'!$A$2:$B$802,2,FALSE))</f>
        <v/>
      </c>
      <c r="D17" s="53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5"/>
    </row>
    <row r="18" spans="2:34" x14ac:dyDescent="0.25">
      <c r="B18" s="43"/>
      <c r="C18" s="44" t="str">
        <f>IF(ISBLANK(B18),"",VLOOKUP(B18,'Codes projet'!$A$2:$B$802,2,FALSE))</f>
        <v/>
      </c>
      <c r="D18" s="53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5"/>
    </row>
    <row r="19" spans="2:34" x14ac:dyDescent="0.25">
      <c r="B19" s="43"/>
      <c r="C19" s="44" t="str">
        <f>IF(ISBLANK(B19),"",VLOOKUP(B19,'Codes projet'!$A$2:$B$802,2,FALSE))</f>
        <v/>
      </c>
      <c r="D19" s="53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5"/>
    </row>
    <row r="20" spans="2:34" x14ac:dyDescent="0.25">
      <c r="B20" s="43"/>
      <c r="C20" s="44" t="str">
        <f>IF(ISBLANK(B20),"",VLOOKUP(B20,'Codes projet'!$A$2:$B$802,2,FALSE))</f>
        <v/>
      </c>
      <c r="D20" s="53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5"/>
    </row>
    <row r="21" spans="2:34" x14ac:dyDescent="0.25">
      <c r="B21" s="43"/>
      <c r="C21" s="44" t="str">
        <f>IF(ISBLANK(B21),"",VLOOKUP(B21,'Codes projet'!$A$2:$B$802,2,FALSE))</f>
        <v/>
      </c>
      <c r="D21" s="53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5"/>
    </row>
    <row r="22" spans="2:34" x14ac:dyDescent="0.25">
      <c r="B22" s="43"/>
      <c r="C22" s="44" t="str">
        <f>IF(ISBLANK(B22),"",VLOOKUP(B22,'Codes projet'!$A$2:$B$802,2,FALSE))</f>
        <v/>
      </c>
      <c r="D22" s="53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5"/>
    </row>
    <row r="23" spans="2:34" x14ac:dyDescent="0.25">
      <c r="B23" s="43"/>
      <c r="C23" s="44" t="str">
        <f>IF(ISBLANK(B23),"",VLOOKUP(B23,'Codes projet'!$A$2:$B$802,2,FALSE))</f>
        <v/>
      </c>
      <c r="D23" s="53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5"/>
    </row>
    <row r="24" spans="2:34" x14ac:dyDescent="0.25">
      <c r="B24" s="43"/>
      <c r="C24" s="44" t="str">
        <f>IF(ISBLANK(B24),"",VLOOKUP(B24,'Codes projet'!$A$2:$B$802,2,FALSE))</f>
        <v/>
      </c>
      <c r="D24" s="53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5"/>
    </row>
    <row r="25" spans="2:34" x14ac:dyDescent="0.25">
      <c r="B25" s="43"/>
      <c r="C25" s="44" t="str">
        <f>IF(ISBLANK(B25),"",VLOOKUP(B25,'Codes projet'!$A$2:$B$802,2,FALSE))</f>
        <v/>
      </c>
      <c r="D25" s="53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5"/>
    </row>
    <row r="26" spans="2:34" x14ac:dyDescent="0.25">
      <c r="B26" s="43"/>
      <c r="C26" s="44" t="str">
        <f>IF(ISBLANK(B26),"",VLOOKUP(B26,'Codes projet'!$A$2:$B$802,2,FALSE))</f>
        <v/>
      </c>
      <c r="D26" s="53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5"/>
    </row>
    <row r="27" spans="2:34" x14ac:dyDescent="0.25">
      <c r="B27" s="43"/>
      <c r="C27" s="44" t="str">
        <f>IF(ISBLANK(B27),"",VLOOKUP(B27,'Codes projet'!$A$2:$B$802,2,FALSE))</f>
        <v/>
      </c>
      <c r="D27" s="53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5"/>
    </row>
    <row r="28" spans="2:34" x14ac:dyDescent="0.25">
      <c r="B28" s="43"/>
      <c r="C28" s="44" t="str">
        <f>IF(ISBLANK(B28),"",VLOOKUP(B28,'Codes projet'!$A$2:$B$802,2,FALSE))</f>
        <v/>
      </c>
      <c r="D28" s="53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5"/>
    </row>
    <row r="29" spans="2:34" x14ac:dyDescent="0.25">
      <c r="B29" s="43"/>
      <c r="C29" s="44" t="str">
        <f>IF(ISBLANK(B29),"",VLOOKUP(B29,'Codes projet'!$A$2:$B$802,2,FALSE))</f>
        <v/>
      </c>
      <c r="D29" s="53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5"/>
    </row>
    <row r="30" spans="2:34" x14ac:dyDescent="0.25">
      <c r="B30" s="43"/>
      <c r="C30" s="44" t="str">
        <f>IF(ISBLANK(B30),"",VLOOKUP(B30,'Codes projet'!$A$2:$B$802,2,FALSE))</f>
        <v/>
      </c>
      <c r="D30" s="53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5"/>
    </row>
    <row r="31" spans="2:34" x14ac:dyDescent="0.25">
      <c r="B31" s="43"/>
      <c r="C31" s="44" t="str">
        <f>IF(ISBLANK(B31),"",VLOOKUP(B31,'Codes projet'!$A$2:$B$802,2,FALSE))</f>
        <v/>
      </c>
      <c r="D31" s="53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5"/>
    </row>
    <row r="32" spans="2:34" x14ac:dyDescent="0.25">
      <c r="B32" s="43"/>
      <c r="C32" s="44" t="str">
        <f>IF(ISBLANK(B32),"",VLOOKUP(B32,'Codes projet'!$A$2:$B$802,2,FALSE))</f>
        <v/>
      </c>
      <c r="D32" s="53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5"/>
    </row>
    <row r="33" spans="2:34" x14ac:dyDescent="0.25">
      <c r="B33" s="43"/>
      <c r="C33" s="44" t="str">
        <f>IF(ISBLANK(B33),"",VLOOKUP(B33,'Codes projet'!$A$2:$B$802,2,FALSE))</f>
        <v/>
      </c>
      <c r="D33" s="53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5"/>
    </row>
    <row r="34" spans="2:34" x14ac:dyDescent="0.25">
      <c r="B34" s="43"/>
      <c r="C34" s="44" t="str">
        <f>IF(ISBLANK(B34),"",VLOOKUP(B34,'Codes projet'!$A$2:$B$802,2,FALSE))</f>
        <v/>
      </c>
      <c r="D34" s="53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5"/>
    </row>
    <row r="35" spans="2:34" x14ac:dyDescent="0.25">
      <c r="B35" s="43"/>
      <c r="C35" s="44" t="str">
        <f>IF(ISBLANK(B35),"",VLOOKUP(B35,'Codes projet'!$A$2:$B$802,2,FALSE))</f>
        <v/>
      </c>
      <c r="D35" s="53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5"/>
    </row>
    <row r="36" spans="2:34" x14ac:dyDescent="0.25">
      <c r="B36" s="43"/>
      <c r="C36" s="44" t="str">
        <f>IF(ISBLANK(B36),"",VLOOKUP(B36,'Codes projet'!$A$2:$B$802,2,FALSE))</f>
        <v/>
      </c>
      <c r="D36" s="53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5"/>
    </row>
    <row r="37" spans="2:34" x14ac:dyDescent="0.25">
      <c r="B37" s="43"/>
      <c r="C37" s="44" t="str">
        <f>IF(ISBLANK(B37),"",VLOOKUP(B37,'Codes projet'!$A$2:$B$802,2,FALSE))</f>
        <v/>
      </c>
      <c r="D37" s="53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5"/>
    </row>
    <row r="38" spans="2:34" x14ac:dyDescent="0.25">
      <c r="B38" s="43"/>
      <c r="C38" s="44" t="str">
        <f>IF(ISBLANK(B38),"",VLOOKUP(B38,'Codes projet'!$A$2:$B$802,2,FALSE))</f>
        <v/>
      </c>
      <c r="D38" s="53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5"/>
    </row>
    <row r="39" spans="2:34" x14ac:dyDescent="0.25">
      <c r="B39" s="43"/>
      <c r="C39" s="44" t="str">
        <f>IF(ISBLANK(B39),"",VLOOKUP(B39,'Codes projet'!$A$2:$B$802,2,FALSE))</f>
        <v/>
      </c>
      <c r="D39" s="53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5"/>
    </row>
    <row r="40" spans="2:34" x14ac:dyDescent="0.25">
      <c r="B40" s="43"/>
      <c r="C40" s="44" t="str">
        <f>IF(ISBLANK(B40),"",VLOOKUP(B40,'Codes projet'!$A$2:$B$802,2,FALSE))</f>
        <v/>
      </c>
      <c r="D40" s="53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5"/>
    </row>
    <row r="41" spans="2:34" x14ac:dyDescent="0.25">
      <c r="B41" s="43"/>
      <c r="C41" s="44" t="str">
        <f>IF(ISBLANK(B41),"",VLOOKUP(B41,'Codes projet'!$A$2:$B$802,2,FALSE))</f>
        <v/>
      </c>
      <c r="D41" s="53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5"/>
    </row>
    <row r="42" spans="2:34" x14ac:dyDescent="0.25">
      <c r="B42" s="43"/>
      <c r="C42" s="44" t="str">
        <f>IF(ISBLANK(B42),"",VLOOKUP(B42,'Codes projet'!$A$2:$B$802,2,FALSE))</f>
        <v/>
      </c>
      <c r="D42" s="53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5"/>
    </row>
    <row r="43" spans="2:34" x14ac:dyDescent="0.25">
      <c r="B43" s="43"/>
      <c r="C43" s="44" t="str">
        <f>IF(ISBLANK(B43),"",VLOOKUP(B43,'Codes projet'!$A$2:$B$802,2,FALSE))</f>
        <v/>
      </c>
      <c r="D43" s="53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5"/>
    </row>
    <row r="44" spans="2:34" x14ac:dyDescent="0.25">
      <c r="B44" s="43"/>
      <c r="C44" s="44" t="str">
        <f>IF(ISBLANK(B44),"",VLOOKUP(B44,'Codes projet'!$A$2:$B$802,2,FALSE))</f>
        <v/>
      </c>
      <c r="D44" s="53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5"/>
    </row>
    <row r="45" spans="2:34" x14ac:dyDescent="0.25">
      <c r="B45" s="43"/>
      <c r="C45" s="44" t="str">
        <f>IF(ISBLANK(B45),"",VLOOKUP(B45,'Codes projet'!$A$2:$B$802,2,FALSE))</f>
        <v/>
      </c>
      <c r="D45" s="53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5"/>
    </row>
    <row r="46" spans="2:34" x14ac:dyDescent="0.25">
      <c r="B46" s="43"/>
      <c r="C46" s="44" t="str">
        <f>IF(ISBLANK(B46),"",VLOOKUP(B46,'Codes projet'!$A$2:$B$802,2,FALSE))</f>
        <v/>
      </c>
      <c r="D46" s="53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5"/>
    </row>
    <row r="47" spans="2:34" x14ac:dyDescent="0.25">
      <c r="B47" s="43"/>
      <c r="C47" s="44" t="str">
        <f>IF(ISBLANK(B47),"",VLOOKUP(B47,'Codes projet'!$A$2:$B$802,2,FALSE))</f>
        <v/>
      </c>
      <c r="D47" s="53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5"/>
    </row>
    <row r="48" spans="2:34" x14ac:dyDescent="0.25">
      <c r="B48" s="43"/>
      <c r="C48" s="44" t="str">
        <f>IF(ISBLANK(B48),"",VLOOKUP(B48,'Codes projet'!$A$2:$B$802,2,FALSE))</f>
        <v/>
      </c>
      <c r="D48" s="53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5"/>
    </row>
    <row r="49" spans="2:34" x14ac:dyDescent="0.25">
      <c r="B49" s="43"/>
      <c r="C49" s="44" t="str">
        <f>IF(ISBLANK(B49),"",VLOOKUP(B49,'Codes projet'!$A$2:$B$802,2,FALSE))</f>
        <v/>
      </c>
      <c r="D49" s="53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5"/>
    </row>
    <row r="50" spans="2:34" x14ac:dyDescent="0.25">
      <c r="B50" s="43"/>
      <c r="C50" s="44" t="str">
        <f>IF(ISBLANK(B50),"",VLOOKUP(B50,'Codes projet'!$A$2:$B$802,2,FALSE))</f>
        <v/>
      </c>
      <c r="D50" s="53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5"/>
    </row>
    <row r="51" spans="2:34" x14ac:dyDescent="0.25">
      <c r="B51" s="43"/>
      <c r="C51" s="44" t="str">
        <f>IF(ISBLANK(B51),"",VLOOKUP(B51,'Codes projet'!$A$2:$B$802,2,FALSE))</f>
        <v/>
      </c>
      <c r="D51" s="53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5"/>
    </row>
    <row r="52" spans="2:34" x14ac:dyDescent="0.25">
      <c r="B52" s="43"/>
      <c r="C52" s="44" t="str">
        <f>IF(ISBLANK(B52),"",VLOOKUP(B52,'Codes projet'!$A$2:$B$802,2,FALSE))</f>
        <v/>
      </c>
      <c r="D52" s="53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5"/>
    </row>
    <row r="53" spans="2:34" x14ac:dyDescent="0.25">
      <c r="B53" s="43"/>
      <c r="C53" s="44" t="str">
        <f>IF(ISBLANK(B53),"",VLOOKUP(B53,'Codes projet'!$A$2:$B$802,2,FALSE))</f>
        <v/>
      </c>
      <c r="D53" s="53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5"/>
    </row>
    <row r="54" spans="2:34" x14ac:dyDescent="0.25">
      <c r="B54" s="43"/>
      <c r="C54" s="44" t="str">
        <f>IF(ISBLANK(B54),"",VLOOKUP(B54,'Codes projet'!$A$2:$B$802,2,FALSE))</f>
        <v/>
      </c>
      <c r="D54" s="53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5"/>
    </row>
    <row r="55" spans="2:34" x14ac:dyDescent="0.25">
      <c r="B55" s="43"/>
      <c r="C55" s="44" t="str">
        <f>IF(ISBLANK(B55),"",VLOOKUP(B55,'Codes projet'!$A$2:$B$802,2,FALSE))</f>
        <v/>
      </c>
      <c r="D55" s="53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5"/>
    </row>
    <row r="56" spans="2:34" x14ac:dyDescent="0.25">
      <c r="B56" s="43"/>
      <c r="C56" s="44" t="str">
        <f>IF(ISBLANK(B56),"",VLOOKUP(B56,'Codes projet'!$A$2:$B$802,2,FALSE))</f>
        <v/>
      </c>
      <c r="D56" s="53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5"/>
    </row>
    <row r="57" spans="2:34" x14ac:dyDescent="0.25">
      <c r="B57" s="43"/>
      <c r="C57" s="44" t="str">
        <f>IF(ISBLANK(B57),"",VLOOKUP(B57,'Codes projet'!$A$2:$B$802,2,FALSE))</f>
        <v/>
      </c>
      <c r="D57" s="53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5"/>
    </row>
    <row r="58" spans="2:34" x14ac:dyDescent="0.25">
      <c r="B58" s="43"/>
      <c r="C58" s="44" t="str">
        <f>IF(ISBLANK(B58),"",VLOOKUP(B58,'Codes projet'!$A$2:$B$802,2,FALSE))</f>
        <v/>
      </c>
      <c r="D58" s="53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54"/>
      <c r="AG58" s="54"/>
      <c r="AH58" s="55"/>
    </row>
    <row r="59" spans="2:34" x14ac:dyDescent="0.25">
      <c r="B59" s="43"/>
      <c r="C59" s="44" t="str">
        <f>IF(ISBLANK(B59),"",VLOOKUP(B59,'Codes projet'!$A$2:$B$802,2,FALSE))</f>
        <v/>
      </c>
      <c r="D59" s="53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5"/>
    </row>
    <row r="60" spans="2:34" x14ac:dyDescent="0.25">
      <c r="B60" s="43"/>
      <c r="C60" s="44" t="str">
        <f>IF(ISBLANK(B60),"",VLOOKUP(B60,'Codes projet'!$A$2:$B$802,2,FALSE))</f>
        <v/>
      </c>
      <c r="D60" s="53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55"/>
    </row>
    <row r="61" spans="2:34" x14ac:dyDescent="0.25">
      <c r="B61" s="43"/>
      <c r="C61" s="44" t="str">
        <f>IF(ISBLANK(B61),"",VLOOKUP(B61,'Codes projet'!$A$2:$B$802,2,FALSE))</f>
        <v/>
      </c>
      <c r="D61" s="53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4"/>
      <c r="AG61" s="54"/>
      <c r="AH61" s="55"/>
    </row>
    <row r="62" spans="2:34" x14ac:dyDescent="0.25">
      <c r="B62" s="43"/>
      <c r="C62" s="44" t="str">
        <f>IF(ISBLANK(B62),"",VLOOKUP(B62,'Codes projet'!$A$2:$B$802,2,FALSE))</f>
        <v/>
      </c>
      <c r="D62" s="53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5"/>
    </row>
    <row r="63" spans="2:34" x14ac:dyDescent="0.25">
      <c r="B63" s="43"/>
      <c r="C63" s="44" t="str">
        <f>IF(ISBLANK(B63),"",VLOOKUP(B63,'Codes projet'!$A$2:$B$802,2,FALSE))</f>
        <v/>
      </c>
      <c r="D63" s="53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4"/>
      <c r="AF63" s="54"/>
      <c r="AG63" s="54"/>
      <c r="AH63" s="55"/>
    </row>
    <row r="64" spans="2:34" x14ac:dyDescent="0.25">
      <c r="B64" s="43"/>
      <c r="C64" s="44" t="str">
        <f>IF(ISBLANK(B64),"",VLOOKUP(B64,'Codes projet'!$A$2:$B$802,2,FALSE))</f>
        <v/>
      </c>
      <c r="D64" s="53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5"/>
    </row>
    <row r="65" spans="2:34" x14ac:dyDescent="0.25">
      <c r="B65" s="43"/>
      <c r="C65" s="44" t="str">
        <f>IF(ISBLANK(B65),"",VLOOKUP(B65,'Codes projet'!$A$2:$B$802,2,FALSE))</f>
        <v/>
      </c>
      <c r="D65" s="53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5"/>
    </row>
    <row r="66" spans="2:34" x14ac:dyDescent="0.25">
      <c r="B66" s="43"/>
      <c r="C66" s="44" t="str">
        <f>IF(ISBLANK(B66),"",VLOOKUP(B66,'Codes projet'!$A$2:$B$802,2,FALSE))</f>
        <v/>
      </c>
      <c r="D66" s="53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5"/>
    </row>
    <row r="67" spans="2:34" x14ac:dyDescent="0.25">
      <c r="B67" s="43"/>
      <c r="C67" s="44" t="str">
        <f>IF(ISBLANK(B67),"",VLOOKUP(B67,'Codes projet'!$A$2:$B$802,2,FALSE))</f>
        <v/>
      </c>
      <c r="D67" s="53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5"/>
    </row>
    <row r="68" spans="2:34" x14ac:dyDescent="0.25">
      <c r="B68" s="43"/>
      <c r="C68" s="44" t="str">
        <f>IF(ISBLANK(B68),"",VLOOKUP(B68,'Codes projet'!$A$2:$B$802,2,FALSE))</f>
        <v/>
      </c>
      <c r="D68" s="53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5"/>
    </row>
    <row r="69" spans="2:34" x14ac:dyDescent="0.25">
      <c r="B69" s="43"/>
      <c r="C69" s="44" t="str">
        <f>IF(ISBLANK(B69),"",VLOOKUP(B69,'Codes projet'!$A$2:$B$802,2,FALSE))</f>
        <v/>
      </c>
      <c r="D69" s="53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5"/>
    </row>
    <row r="70" spans="2:34" x14ac:dyDescent="0.25">
      <c r="B70" s="43"/>
      <c r="C70" s="44" t="str">
        <f>IF(ISBLANK(B70),"",VLOOKUP(B70,'Codes projet'!$A$2:$B$802,2,FALSE))</f>
        <v/>
      </c>
      <c r="D70" s="53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5"/>
    </row>
    <row r="71" spans="2:34" x14ac:dyDescent="0.25">
      <c r="B71" s="43"/>
      <c r="C71" s="44" t="str">
        <f>IF(ISBLANK(B71),"",VLOOKUP(B71,'Codes projet'!$A$2:$B$802,2,FALSE))</f>
        <v/>
      </c>
      <c r="D71" s="53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  <c r="AE71" s="54"/>
      <c r="AF71" s="54"/>
      <c r="AG71" s="54"/>
      <c r="AH71" s="55"/>
    </row>
    <row r="72" spans="2:34" x14ac:dyDescent="0.25">
      <c r="B72" s="43"/>
      <c r="C72" s="44" t="str">
        <f>IF(ISBLANK(B72),"",VLOOKUP(B72,'Codes projet'!$A$2:$B$802,2,FALSE))</f>
        <v/>
      </c>
      <c r="D72" s="53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5"/>
    </row>
    <row r="73" spans="2:34" x14ac:dyDescent="0.25">
      <c r="B73" s="43"/>
      <c r="C73" s="44" t="str">
        <f>IF(ISBLANK(B73),"",VLOOKUP(B73,'Codes projet'!$A$2:$B$802,2,FALSE))</f>
        <v/>
      </c>
      <c r="D73" s="53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5"/>
    </row>
    <row r="74" spans="2:34" x14ac:dyDescent="0.25">
      <c r="B74" s="43"/>
      <c r="C74" s="44" t="str">
        <f>IF(ISBLANK(B74),"",VLOOKUP(B74,'Codes projet'!$A$2:$B$802,2,FALSE))</f>
        <v/>
      </c>
      <c r="D74" s="53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5"/>
    </row>
    <row r="75" spans="2:34" x14ac:dyDescent="0.25">
      <c r="B75" s="43"/>
      <c r="C75" s="44" t="str">
        <f>IF(ISBLANK(B75),"",VLOOKUP(B75,'Codes projet'!$A$2:$B$802,2,FALSE))</f>
        <v/>
      </c>
      <c r="D75" s="53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  <c r="AG75" s="54"/>
      <c r="AH75" s="55"/>
    </row>
    <row r="76" spans="2:34" x14ac:dyDescent="0.25">
      <c r="B76" s="43"/>
      <c r="C76" s="44" t="str">
        <f>IF(ISBLANK(B76),"",VLOOKUP(B76,'Codes projet'!$A$2:$B$802,2,FALSE))</f>
        <v/>
      </c>
      <c r="D76" s="53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  <c r="AE76" s="54"/>
      <c r="AF76" s="54"/>
      <c r="AG76" s="54"/>
      <c r="AH76" s="55"/>
    </row>
    <row r="77" spans="2:34" x14ac:dyDescent="0.25">
      <c r="B77" s="43"/>
      <c r="C77" s="44" t="str">
        <f>IF(ISBLANK(B77),"",VLOOKUP(B77,'Codes projet'!$A$2:$B$802,2,FALSE))</f>
        <v/>
      </c>
      <c r="D77" s="53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5"/>
    </row>
    <row r="78" spans="2:34" x14ac:dyDescent="0.25">
      <c r="B78" s="43"/>
      <c r="C78" s="44" t="str">
        <f>IF(ISBLANK(B78),"",VLOOKUP(B78,'Codes projet'!$A$2:$B$802,2,FALSE))</f>
        <v/>
      </c>
      <c r="D78" s="53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55"/>
    </row>
    <row r="79" spans="2:34" x14ac:dyDescent="0.25">
      <c r="B79" s="43"/>
      <c r="C79" s="44" t="str">
        <f>IF(ISBLANK(B79),"",VLOOKUP(B79,'Codes projet'!$A$2:$B$802,2,FALSE))</f>
        <v/>
      </c>
      <c r="D79" s="53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  <c r="AE79" s="54"/>
      <c r="AF79" s="54"/>
      <c r="AG79" s="54"/>
      <c r="AH79" s="55"/>
    </row>
    <row r="80" spans="2:34" x14ac:dyDescent="0.25">
      <c r="B80" s="43"/>
      <c r="C80" s="44" t="str">
        <f>IF(ISBLANK(B80),"",VLOOKUP(B80,'Codes projet'!$A$2:$B$802,2,FALSE))</f>
        <v/>
      </c>
      <c r="D80" s="53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  <c r="AE80" s="54"/>
      <c r="AF80" s="54"/>
      <c r="AG80" s="54"/>
      <c r="AH80" s="55"/>
    </row>
    <row r="81" spans="2:34" x14ac:dyDescent="0.25">
      <c r="B81" s="43"/>
      <c r="C81" s="44" t="str">
        <f>IF(ISBLANK(B81),"",VLOOKUP(B81,'Codes projet'!$A$2:$B$802,2,FALSE))</f>
        <v/>
      </c>
      <c r="D81" s="53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  <c r="AE81" s="54"/>
      <c r="AF81" s="54"/>
      <c r="AG81" s="54"/>
      <c r="AH81" s="55"/>
    </row>
    <row r="82" spans="2:34" x14ac:dyDescent="0.25">
      <c r="B82" s="43"/>
      <c r="C82" s="44" t="str">
        <f>IF(ISBLANK(B82),"",VLOOKUP(B82,'Codes projet'!$A$2:$B$802,2,FALSE))</f>
        <v/>
      </c>
      <c r="D82" s="53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5"/>
    </row>
    <row r="83" spans="2:34" x14ac:dyDescent="0.25">
      <c r="B83" s="43"/>
      <c r="C83" s="44" t="str">
        <f>IF(ISBLANK(B83),"",VLOOKUP(B83,'Codes projet'!$A$2:$B$802,2,FALSE))</f>
        <v/>
      </c>
      <c r="D83" s="53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5"/>
    </row>
    <row r="84" spans="2:34" x14ac:dyDescent="0.25">
      <c r="B84" s="43"/>
      <c r="C84" s="44" t="str">
        <f>IF(ISBLANK(B84),"",VLOOKUP(B84,'Codes projet'!$A$2:$B$802,2,FALSE))</f>
        <v/>
      </c>
      <c r="D84" s="53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  <c r="AE84" s="54"/>
      <c r="AF84" s="54"/>
      <c r="AG84" s="54"/>
      <c r="AH84" s="55"/>
    </row>
    <row r="85" spans="2:34" x14ac:dyDescent="0.25">
      <c r="B85" s="43"/>
      <c r="C85" s="44" t="str">
        <f>IF(ISBLANK(B85),"",VLOOKUP(B85,'Codes projet'!$A$2:$B$802,2,FALSE))</f>
        <v/>
      </c>
      <c r="D85" s="53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5"/>
    </row>
    <row r="86" spans="2:34" x14ac:dyDescent="0.25">
      <c r="B86" s="43"/>
      <c r="C86" s="44" t="str">
        <f>IF(ISBLANK(B86),"",VLOOKUP(B86,'Codes projet'!$A$2:$B$802,2,FALSE))</f>
        <v/>
      </c>
      <c r="D86" s="53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5"/>
    </row>
    <row r="87" spans="2:34" x14ac:dyDescent="0.25">
      <c r="B87" s="43"/>
      <c r="C87" s="44" t="str">
        <f>IF(ISBLANK(B87),"",VLOOKUP(B87,'Codes projet'!$A$2:$B$802,2,FALSE))</f>
        <v/>
      </c>
      <c r="D87" s="53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5"/>
    </row>
    <row r="88" spans="2:34" x14ac:dyDescent="0.25">
      <c r="B88" s="43"/>
      <c r="C88" s="44" t="str">
        <f>IF(ISBLANK(B88),"",VLOOKUP(B88,'Codes projet'!$A$2:$B$802,2,FALSE))</f>
        <v/>
      </c>
      <c r="D88" s="53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5"/>
    </row>
    <row r="89" spans="2:34" x14ac:dyDescent="0.25">
      <c r="B89" s="43"/>
      <c r="C89" s="44" t="str">
        <f>IF(ISBLANK(B89),"",VLOOKUP(B89,'Codes projet'!$A$2:$B$802,2,FALSE))</f>
        <v/>
      </c>
      <c r="D89" s="53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5"/>
    </row>
    <row r="90" spans="2:34" x14ac:dyDescent="0.25">
      <c r="B90" s="43"/>
      <c r="C90" s="44" t="str">
        <f>IF(ISBLANK(B90),"",VLOOKUP(B90,'Codes projet'!$A$2:$B$802,2,FALSE))</f>
        <v/>
      </c>
      <c r="D90" s="53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5"/>
    </row>
    <row r="91" spans="2:34" x14ac:dyDescent="0.25">
      <c r="B91" s="43"/>
      <c r="C91" s="44" t="str">
        <f>IF(ISBLANK(B91),"",VLOOKUP(B91,'Codes projet'!$A$2:$B$802,2,FALSE))</f>
        <v/>
      </c>
      <c r="D91" s="53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5"/>
    </row>
    <row r="92" spans="2:34" x14ac:dyDescent="0.25">
      <c r="B92" s="43"/>
      <c r="C92" s="44" t="str">
        <f>IF(ISBLANK(B92),"",VLOOKUP(B92,'Codes projet'!$A$2:$B$802,2,FALSE))</f>
        <v/>
      </c>
      <c r="D92" s="53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5"/>
    </row>
    <row r="93" spans="2:34" x14ac:dyDescent="0.25">
      <c r="B93" s="43"/>
      <c r="C93" s="44" t="str">
        <f>IF(ISBLANK(B93),"",VLOOKUP(B93,'Codes projet'!$A$2:$B$802,2,FALSE))</f>
        <v/>
      </c>
      <c r="D93" s="53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5"/>
    </row>
    <row r="94" spans="2:34" x14ac:dyDescent="0.25">
      <c r="B94" s="43"/>
      <c r="C94" s="44" t="str">
        <f>IF(ISBLANK(B94),"",VLOOKUP(B94,'Codes projet'!$A$2:$B$802,2,FALSE))</f>
        <v/>
      </c>
      <c r="D94" s="53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5"/>
    </row>
    <row r="95" spans="2:34" x14ac:dyDescent="0.25">
      <c r="B95" s="43"/>
      <c r="C95" s="44" t="str">
        <f>IF(ISBLANK(B95),"",VLOOKUP(B95,'Codes projet'!$A$2:$B$802,2,FALSE))</f>
        <v/>
      </c>
      <c r="D95" s="53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5"/>
    </row>
    <row r="96" spans="2:34" x14ac:dyDescent="0.25">
      <c r="B96" s="43"/>
      <c r="C96" s="44" t="str">
        <f>IF(ISBLANK(B96),"",VLOOKUP(B96,'Codes projet'!$A$2:$B$802,2,FALSE))</f>
        <v/>
      </c>
      <c r="D96" s="53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  <c r="AE96" s="54"/>
      <c r="AF96" s="54"/>
      <c r="AG96" s="54"/>
      <c r="AH96" s="55"/>
    </row>
    <row r="97" spans="2:34" x14ac:dyDescent="0.25">
      <c r="B97" s="43"/>
      <c r="C97" s="44" t="str">
        <f>IF(ISBLANK(B97),"",VLOOKUP(B97,'Codes projet'!$A$2:$B$802,2,FALSE))</f>
        <v/>
      </c>
      <c r="D97" s="53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  <c r="AE97" s="54"/>
      <c r="AF97" s="54"/>
      <c r="AG97" s="54"/>
      <c r="AH97" s="55"/>
    </row>
    <row r="98" spans="2:34" x14ac:dyDescent="0.25">
      <c r="B98" s="43"/>
      <c r="C98" s="44" t="str">
        <f>IF(ISBLANK(B98),"",VLOOKUP(B98,'Codes projet'!$A$2:$B$802,2,FALSE))</f>
        <v/>
      </c>
      <c r="D98" s="53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  <c r="AE98" s="54"/>
      <c r="AF98" s="54"/>
      <c r="AG98" s="54"/>
      <c r="AH98" s="55"/>
    </row>
    <row r="99" spans="2:34" x14ac:dyDescent="0.25">
      <c r="B99" s="43"/>
      <c r="C99" s="44" t="str">
        <f>IF(ISBLANK(B99),"",VLOOKUP(B99,'Codes projet'!$A$2:$B$802,2,FALSE))</f>
        <v/>
      </c>
      <c r="D99" s="53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  <c r="AE99" s="54"/>
      <c r="AF99" s="54"/>
      <c r="AG99" s="54"/>
      <c r="AH99" s="55"/>
    </row>
    <row r="100" spans="2:34" x14ac:dyDescent="0.25">
      <c r="B100" s="43"/>
      <c r="C100" s="44" t="str">
        <f>IF(ISBLANK(B100),"",VLOOKUP(B100,'Codes projet'!$A$2:$B$802,2,FALSE))</f>
        <v/>
      </c>
      <c r="D100" s="53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  <c r="AE100" s="54"/>
      <c r="AF100" s="54"/>
      <c r="AG100" s="54"/>
      <c r="AH100" s="55"/>
    </row>
    <row r="101" spans="2:34" x14ac:dyDescent="0.25">
      <c r="B101" s="43"/>
      <c r="C101" s="44" t="str">
        <f>IF(ISBLANK(B101),"",VLOOKUP(B101,'Codes projet'!$A$2:$B$802,2,FALSE))</f>
        <v/>
      </c>
      <c r="D101" s="53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  <c r="AE101" s="54"/>
      <c r="AF101" s="54"/>
      <c r="AG101" s="54"/>
      <c r="AH101" s="55"/>
    </row>
    <row r="102" spans="2:34" x14ac:dyDescent="0.25">
      <c r="B102" s="43"/>
      <c r="C102" s="44" t="str">
        <f>IF(ISBLANK(B102),"",VLOOKUP(B102,'Codes projet'!$A$2:$B$802,2,FALSE))</f>
        <v/>
      </c>
      <c r="D102" s="53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  <c r="AE102" s="54"/>
      <c r="AF102" s="54"/>
      <c r="AG102" s="54"/>
      <c r="AH102" s="55"/>
    </row>
    <row r="103" spans="2:34" x14ac:dyDescent="0.25">
      <c r="B103" s="43"/>
      <c r="C103" s="44" t="str">
        <f>IF(ISBLANK(B103),"",VLOOKUP(B103,'Codes projet'!$A$2:$B$802,2,FALSE))</f>
        <v/>
      </c>
      <c r="D103" s="53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  <c r="AE103" s="54"/>
      <c r="AF103" s="54"/>
      <c r="AG103" s="54"/>
      <c r="AH103" s="55"/>
    </row>
    <row r="104" spans="2:34" x14ac:dyDescent="0.25">
      <c r="B104" s="43"/>
      <c r="C104" s="44" t="str">
        <f>IF(ISBLANK(B104),"",VLOOKUP(B104,'Codes projet'!$A$2:$B$802,2,FALSE))</f>
        <v/>
      </c>
      <c r="D104" s="53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5"/>
    </row>
    <row r="105" spans="2:34" x14ac:dyDescent="0.25">
      <c r="B105" s="43"/>
      <c r="C105" s="44" t="str">
        <f>IF(ISBLANK(B105),"",VLOOKUP(B105,'Codes projet'!$A$2:$B$802,2,FALSE))</f>
        <v/>
      </c>
      <c r="D105" s="53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  <c r="AE105" s="54"/>
      <c r="AF105" s="54"/>
      <c r="AG105" s="54"/>
      <c r="AH105" s="55"/>
    </row>
    <row r="106" spans="2:34" x14ac:dyDescent="0.25">
      <c r="B106" s="43"/>
      <c r="C106" s="44" t="str">
        <f>IF(ISBLANK(B106),"",VLOOKUP(B106,'Codes projet'!$A$2:$B$802,2,FALSE))</f>
        <v/>
      </c>
      <c r="D106" s="53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  <c r="AE106" s="54"/>
      <c r="AF106" s="54"/>
      <c r="AG106" s="54"/>
      <c r="AH106" s="55"/>
    </row>
    <row r="107" spans="2:34" x14ac:dyDescent="0.25">
      <c r="B107" s="43"/>
      <c r="C107" s="44" t="str">
        <f>IF(ISBLANK(B107),"",VLOOKUP(B107,'Codes projet'!$A$2:$B$802,2,FALSE))</f>
        <v/>
      </c>
      <c r="D107" s="53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  <c r="AE107" s="54"/>
      <c r="AF107" s="54"/>
      <c r="AG107" s="54"/>
      <c r="AH107" s="55"/>
    </row>
    <row r="108" spans="2:34" x14ac:dyDescent="0.25">
      <c r="B108" s="43"/>
      <c r="C108" s="44" t="str">
        <f>IF(ISBLANK(B108),"",VLOOKUP(B108,'Codes projet'!$A$2:$B$802,2,FALSE))</f>
        <v/>
      </c>
      <c r="D108" s="53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  <c r="AE108" s="54"/>
      <c r="AF108" s="54"/>
      <c r="AG108" s="54"/>
      <c r="AH108" s="55"/>
    </row>
    <row r="109" spans="2:34" x14ac:dyDescent="0.25">
      <c r="B109" s="43"/>
      <c r="C109" s="44" t="str">
        <f>IF(ISBLANK(B109),"",VLOOKUP(B109,'Codes projet'!$A$2:$B$802,2,FALSE))</f>
        <v/>
      </c>
      <c r="D109" s="53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  <c r="AE109" s="54"/>
      <c r="AF109" s="54"/>
      <c r="AG109" s="54"/>
      <c r="AH109" s="55"/>
    </row>
    <row r="110" spans="2:34" x14ac:dyDescent="0.25">
      <c r="B110" s="43"/>
      <c r="C110" s="44" t="str">
        <f>IF(ISBLANK(B110),"",VLOOKUP(B110,'Codes projet'!$A$2:$B$802,2,FALSE))</f>
        <v/>
      </c>
      <c r="D110" s="53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  <c r="AE110" s="54"/>
      <c r="AF110" s="54"/>
      <c r="AG110" s="54"/>
      <c r="AH110" s="55"/>
    </row>
    <row r="111" spans="2:34" x14ac:dyDescent="0.25">
      <c r="B111" s="43"/>
      <c r="C111" s="44" t="str">
        <f>IF(ISBLANK(B111),"",VLOOKUP(B111,'Codes projet'!$A$2:$B$802,2,FALSE))</f>
        <v/>
      </c>
      <c r="D111" s="53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  <c r="AE111" s="54"/>
      <c r="AF111" s="54"/>
      <c r="AG111" s="54"/>
      <c r="AH111" s="55"/>
    </row>
    <row r="112" spans="2:34" x14ac:dyDescent="0.25">
      <c r="B112" s="43"/>
      <c r="C112" s="44" t="str">
        <f>IF(ISBLANK(B112),"",VLOOKUP(B112,'Codes projet'!$A$2:$B$802,2,FALSE))</f>
        <v/>
      </c>
      <c r="D112" s="53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  <c r="AE112" s="54"/>
      <c r="AF112" s="54"/>
      <c r="AG112" s="54"/>
      <c r="AH112" s="55"/>
    </row>
    <row r="113" spans="2:34" x14ac:dyDescent="0.25">
      <c r="B113" s="43"/>
      <c r="C113" s="44" t="str">
        <f>IF(ISBLANK(B113),"",VLOOKUP(B113,'Codes projet'!$A$2:$B$802,2,FALSE))</f>
        <v/>
      </c>
      <c r="D113" s="53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  <c r="AE113" s="54"/>
      <c r="AF113" s="54"/>
      <c r="AG113" s="54"/>
      <c r="AH113" s="55"/>
    </row>
    <row r="114" spans="2:34" x14ac:dyDescent="0.25">
      <c r="B114" s="43"/>
      <c r="C114" s="44" t="str">
        <f>IF(ISBLANK(B114),"",VLOOKUP(B114,'Codes projet'!$A$2:$B$802,2,FALSE))</f>
        <v/>
      </c>
      <c r="D114" s="53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  <c r="AE114" s="54"/>
      <c r="AF114" s="54"/>
      <c r="AG114" s="54"/>
      <c r="AH114" s="55"/>
    </row>
    <row r="115" spans="2:34" x14ac:dyDescent="0.25">
      <c r="B115" s="43"/>
      <c r="C115" s="44" t="str">
        <f>IF(ISBLANK(B115),"",VLOOKUP(B115,'Codes projet'!$A$2:$B$802,2,FALSE))</f>
        <v/>
      </c>
      <c r="D115" s="53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  <c r="AE115" s="54"/>
      <c r="AF115" s="54"/>
      <c r="AG115" s="54"/>
      <c r="AH115" s="55"/>
    </row>
    <row r="116" spans="2:34" x14ac:dyDescent="0.25">
      <c r="B116" s="43"/>
      <c r="C116" s="44" t="str">
        <f>IF(ISBLANK(B116),"",VLOOKUP(B116,'Codes projet'!$A$2:$B$802,2,FALSE))</f>
        <v/>
      </c>
      <c r="D116" s="53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  <c r="AE116" s="54"/>
      <c r="AF116" s="54"/>
      <c r="AG116" s="54"/>
      <c r="AH116" s="55"/>
    </row>
    <row r="117" spans="2:34" x14ac:dyDescent="0.25">
      <c r="B117" s="43"/>
      <c r="C117" s="44" t="str">
        <f>IF(ISBLANK(B117),"",VLOOKUP(B117,'Codes projet'!$A$2:$B$802,2,FALSE))</f>
        <v/>
      </c>
      <c r="D117" s="53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  <c r="AE117" s="54"/>
      <c r="AF117" s="54"/>
      <c r="AG117" s="54"/>
      <c r="AH117" s="55"/>
    </row>
    <row r="118" spans="2:34" ht="15.75" thickBot="1" x14ac:dyDescent="0.3">
      <c r="B118" s="45"/>
      <c r="C118" s="46" t="str">
        <f>IF(ISBLANK(B118),"",VLOOKUP(B118,'Codes projet'!$A$2:$B$802,2,FALSE))</f>
        <v/>
      </c>
      <c r="D118" s="56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  <c r="AB118" s="57"/>
      <c r="AC118" s="57"/>
      <c r="AD118" s="57"/>
      <c r="AE118" s="57"/>
      <c r="AF118" s="57"/>
      <c r="AG118" s="57"/>
      <c r="AH118" s="58"/>
    </row>
    <row r="119" spans="2:34" s="34" customFormat="1" x14ac:dyDescent="0.25">
      <c r="D119" s="60" t="str">
        <f>IF(D133&lt;&gt;D134,IF(D133&gt;D134,TEXT(D133-D134,"-HH::MM"),TEXT(D134-D133,"HH::MM")),"")</f>
        <v/>
      </c>
      <c r="E119" s="60" t="str">
        <f t="shared" ref="E119:AH119" si="1">IF(E133&lt;&gt;E134,IF(E133&gt;E134,TEXT(E133-E134,"-HH::MM"),TEXT(E134-E133,"HH::MM")),"")</f>
        <v/>
      </c>
      <c r="F119" s="60" t="str">
        <f t="shared" si="1"/>
        <v>-08:00</v>
      </c>
      <c r="G119" s="60" t="str">
        <f t="shared" si="1"/>
        <v>-08:00</v>
      </c>
      <c r="H119" s="60" t="str">
        <f t="shared" si="1"/>
        <v>-08:00</v>
      </c>
      <c r="I119" s="60" t="str">
        <f t="shared" si="1"/>
        <v>-08:00</v>
      </c>
      <c r="J119" s="60" t="str">
        <f t="shared" si="1"/>
        <v>-08:00</v>
      </c>
      <c r="K119" s="60" t="str">
        <f t="shared" si="1"/>
        <v/>
      </c>
      <c r="L119" s="60" t="str">
        <f t="shared" si="1"/>
        <v/>
      </c>
      <c r="M119" s="60" t="str">
        <f t="shared" si="1"/>
        <v>-08:00</v>
      </c>
      <c r="N119" s="60" t="str">
        <f t="shared" si="1"/>
        <v>-08:00</v>
      </c>
      <c r="O119" s="60" t="str">
        <f t="shared" si="1"/>
        <v>-08:00</v>
      </c>
      <c r="P119" s="60" t="str">
        <f t="shared" si="1"/>
        <v>-08:00</v>
      </c>
      <c r="Q119" s="60" t="str">
        <f t="shared" si="1"/>
        <v>-08:00</v>
      </c>
      <c r="R119" s="60" t="str">
        <f t="shared" si="1"/>
        <v/>
      </c>
      <c r="S119" s="60" t="str">
        <f t="shared" si="1"/>
        <v/>
      </c>
      <c r="T119" s="60" t="str">
        <f t="shared" si="1"/>
        <v>-08:00</v>
      </c>
      <c r="U119" s="60" t="str">
        <f t="shared" si="1"/>
        <v>-08:00</v>
      </c>
      <c r="V119" s="60" t="str">
        <f t="shared" si="1"/>
        <v>-08:00</v>
      </c>
      <c r="W119" s="60" t="str">
        <f t="shared" si="1"/>
        <v>-08:00</v>
      </c>
      <c r="X119" s="60" t="str">
        <f t="shared" si="1"/>
        <v>-08:00</v>
      </c>
      <c r="Y119" s="60" t="str">
        <f t="shared" si="1"/>
        <v/>
      </c>
      <c r="Z119" s="60" t="str">
        <f t="shared" si="1"/>
        <v/>
      </c>
      <c r="AA119" s="60" t="str">
        <f t="shared" si="1"/>
        <v>-08:00</v>
      </c>
      <c r="AB119" s="60" t="str">
        <f t="shared" si="1"/>
        <v>-08:00</v>
      </c>
      <c r="AC119" s="60" t="str">
        <f t="shared" si="1"/>
        <v>-08:00</v>
      </c>
      <c r="AD119" s="60" t="str">
        <f t="shared" si="1"/>
        <v>-08:00</v>
      </c>
      <c r="AE119" s="60" t="str">
        <f t="shared" si="1"/>
        <v>-08:00</v>
      </c>
      <c r="AF119" s="60" t="str">
        <f t="shared" si="1"/>
        <v/>
      </c>
      <c r="AG119" s="60" t="str">
        <f t="shared" si="1"/>
        <v/>
      </c>
      <c r="AH119" s="60" t="str">
        <f t="shared" si="1"/>
        <v>-08:00</v>
      </c>
    </row>
    <row r="120" spans="2:34" s="34" customFormat="1" ht="6" customHeight="1" x14ac:dyDescent="0.25"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</row>
    <row r="121" spans="2:34" s="34" customFormat="1" hidden="1" x14ac:dyDescent="0.25"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</row>
    <row r="122" spans="2:34" s="34" customFormat="1" hidden="1" x14ac:dyDescent="0.25"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</row>
    <row r="123" spans="2:34" s="34" customFormat="1" hidden="1" x14ac:dyDescent="0.25"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</row>
    <row r="124" spans="2:34" s="34" customFormat="1" hidden="1" x14ac:dyDescent="0.25"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</row>
    <row r="125" spans="2:34" s="34" customFormat="1" hidden="1" x14ac:dyDescent="0.25"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</row>
    <row r="126" spans="2:34" s="34" customFormat="1" hidden="1" x14ac:dyDescent="0.25"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</row>
    <row r="127" spans="2:34" s="34" customFormat="1" hidden="1" x14ac:dyDescent="0.25"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</row>
    <row r="128" spans="2:34" s="34" customFormat="1" hidden="1" x14ac:dyDescent="0.25"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</row>
    <row r="131" spans="2:34" hidden="1" x14ac:dyDescent="0.25">
      <c r="C131" t="s">
        <v>25</v>
      </c>
      <c r="AF131" s="59" t="b">
        <f>MONTH(AE2+1)&amp;YEAR(AE2+1)=MONTH($D2)&amp;YEAR($D2)</f>
        <v>1</v>
      </c>
      <c r="AG131" s="59" t="b">
        <f>MONTH(AE2+2)&amp;YEAR(AE2+2)=MONTH($D2)&amp;YEAR($D2)</f>
        <v>1</v>
      </c>
      <c r="AH131" s="59" t="b">
        <f>MONTH(AE2+3)&amp;YEAR(AE2+3)=MONTH($D2)&amp;YEAR($D2)</f>
        <v>1</v>
      </c>
    </row>
    <row r="132" spans="2:34" hidden="1" x14ac:dyDescent="0.25">
      <c r="C132" t="s">
        <v>26</v>
      </c>
      <c r="D132" s="59" t="b">
        <f t="shared" ref="D132:AE132" si="2">NOT(OR(WEEKDAY(D2)=7,WEEKDAY(D2)=1))</f>
        <v>0</v>
      </c>
      <c r="E132" s="59" t="b">
        <f t="shared" si="2"/>
        <v>0</v>
      </c>
      <c r="F132" s="59" t="b">
        <f t="shared" si="2"/>
        <v>1</v>
      </c>
      <c r="G132" s="59" t="b">
        <f t="shared" si="2"/>
        <v>1</v>
      </c>
      <c r="H132" s="59" t="b">
        <f t="shared" si="2"/>
        <v>1</v>
      </c>
      <c r="I132" s="59" t="b">
        <f t="shared" si="2"/>
        <v>1</v>
      </c>
      <c r="J132" s="59" t="b">
        <f t="shared" si="2"/>
        <v>1</v>
      </c>
      <c r="K132" s="59" t="b">
        <f t="shared" si="2"/>
        <v>0</v>
      </c>
      <c r="L132" s="59" t="b">
        <f t="shared" si="2"/>
        <v>0</v>
      </c>
      <c r="M132" s="59" t="b">
        <f t="shared" si="2"/>
        <v>1</v>
      </c>
      <c r="N132" s="59" t="b">
        <f t="shared" si="2"/>
        <v>1</v>
      </c>
      <c r="O132" s="59" t="b">
        <f t="shared" si="2"/>
        <v>1</v>
      </c>
      <c r="P132" s="59" t="b">
        <f t="shared" si="2"/>
        <v>1</v>
      </c>
      <c r="Q132" s="59" t="b">
        <f t="shared" si="2"/>
        <v>1</v>
      </c>
      <c r="R132" s="59" t="b">
        <f t="shared" si="2"/>
        <v>0</v>
      </c>
      <c r="S132" s="59" t="b">
        <f t="shared" si="2"/>
        <v>0</v>
      </c>
      <c r="T132" s="59" t="b">
        <f t="shared" si="2"/>
        <v>1</v>
      </c>
      <c r="U132" s="59" t="b">
        <f t="shared" si="2"/>
        <v>1</v>
      </c>
      <c r="V132" s="59" t="b">
        <f t="shared" si="2"/>
        <v>1</v>
      </c>
      <c r="W132" s="59" t="b">
        <f t="shared" si="2"/>
        <v>1</v>
      </c>
      <c r="X132" s="59" t="b">
        <f t="shared" si="2"/>
        <v>1</v>
      </c>
      <c r="Y132" s="59" t="b">
        <f t="shared" si="2"/>
        <v>0</v>
      </c>
      <c r="Z132" s="59" t="b">
        <f t="shared" si="2"/>
        <v>0</v>
      </c>
      <c r="AA132" s="59" t="b">
        <f t="shared" si="2"/>
        <v>1</v>
      </c>
      <c r="AB132" s="59" t="b">
        <f t="shared" si="2"/>
        <v>1</v>
      </c>
      <c r="AC132" s="59" t="b">
        <f t="shared" si="2"/>
        <v>1</v>
      </c>
      <c r="AD132" s="59" t="b">
        <f t="shared" si="2"/>
        <v>1</v>
      </c>
      <c r="AE132" s="59" t="b">
        <f t="shared" si="2"/>
        <v>1</v>
      </c>
      <c r="AF132" s="59" t="b">
        <f>IF(AF131,NOT(OR(WEEKDAY(AF2)=7,WEEKDAY(AF2)=1)),FALSE)</f>
        <v>0</v>
      </c>
      <c r="AG132" s="59" t="b">
        <f t="shared" ref="AG132:AH132" si="3">IF(AG131,NOT(OR(WEEKDAY(AG2)=7,WEEKDAY(AG2)=1)),FALSE)</f>
        <v>0</v>
      </c>
      <c r="AH132" s="59" t="b">
        <f t="shared" si="3"/>
        <v>1</v>
      </c>
    </row>
    <row r="133" spans="2:34" s="34" customFormat="1" hidden="1" x14ac:dyDescent="0.25">
      <c r="B133" s="3"/>
      <c r="C133" s="34" t="s">
        <v>27</v>
      </c>
      <c r="D133" s="68">
        <f>IF(D132,Configuration!$D$19,0)</f>
        <v>0</v>
      </c>
      <c r="E133" s="68">
        <f>IF(E132,Configuration!$D$19,0)</f>
        <v>0</v>
      </c>
      <c r="F133" s="68">
        <f>IF(F132,Configuration!$D$19,0)</f>
        <v>0.33333333333333337</v>
      </c>
      <c r="G133" s="68">
        <f>IF(G132,Configuration!$D$19,0)</f>
        <v>0.33333333333333337</v>
      </c>
      <c r="H133" s="68">
        <f>IF(H132,Configuration!$D$19,0)</f>
        <v>0.33333333333333337</v>
      </c>
      <c r="I133" s="68">
        <f>IF(I132,Configuration!$D$19,0)</f>
        <v>0.33333333333333337</v>
      </c>
      <c r="J133" s="68">
        <f>IF(J132,Configuration!$D$19,0)</f>
        <v>0.33333333333333337</v>
      </c>
      <c r="K133" s="68">
        <f>IF(K132,Configuration!$D$19,0)</f>
        <v>0</v>
      </c>
      <c r="L133" s="68">
        <f>IF(L132,Configuration!$D$19,0)</f>
        <v>0</v>
      </c>
      <c r="M133" s="68">
        <f>IF(M132,Configuration!$D$19,0)</f>
        <v>0.33333333333333337</v>
      </c>
      <c r="N133" s="68">
        <f>IF(N132,Configuration!$D$19,0)</f>
        <v>0.33333333333333337</v>
      </c>
      <c r="O133" s="68">
        <f>IF(O132,Configuration!$D$19,0)</f>
        <v>0.33333333333333337</v>
      </c>
      <c r="P133" s="68">
        <f>IF(P132,Configuration!$D$19,0)</f>
        <v>0.33333333333333337</v>
      </c>
      <c r="Q133" s="68">
        <f>IF(Q132,Configuration!$D$19,0)</f>
        <v>0.33333333333333337</v>
      </c>
      <c r="R133" s="68">
        <f>IF(R132,Configuration!$D$19,0)</f>
        <v>0</v>
      </c>
      <c r="S133" s="68">
        <f>IF(S132,Configuration!$D$19,0)</f>
        <v>0</v>
      </c>
      <c r="T133" s="68">
        <f>IF(T132,Configuration!$D$19,0)</f>
        <v>0.33333333333333337</v>
      </c>
      <c r="U133" s="68">
        <f>IF(U132,Configuration!$D$19,0)</f>
        <v>0.33333333333333337</v>
      </c>
      <c r="V133" s="68">
        <f>IF(V132,Configuration!$D$19,0)</f>
        <v>0.33333333333333337</v>
      </c>
      <c r="W133" s="68">
        <f>IF(W132,Configuration!$D$19,0)</f>
        <v>0.33333333333333337</v>
      </c>
      <c r="X133" s="68">
        <f>IF(X132,Configuration!$D$19,0)</f>
        <v>0.33333333333333337</v>
      </c>
      <c r="Y133" s="68">
        <f>IF(Y132,Configuration!$D$19,0)</f>
        <v>0</v>
      </c>
      <c r="Z133" s="68">
        <f>IF(Z132,Configuration!$D$19,0)</f>
        <v>0</v>
      </c>
      <c r="AA133" s="68">
        <f>IF(AA132,Configuration!$D$19,0)</f>
        <v>0.33333333333333337</v>
      </c>
      <c r="AB133" s="68">
        <f>IF(AB132,Configuration!$D$19,0)</f>
        <v>0.33333333333333337</v>
      </c>
      <c r="AC133" s="68">
        <f>IF(AC132,Configuration!$D$19,0)</f>
        <v>0.33333333333333337</v>
      </c>
      <c r="AD133" s="68">
        <f>IF(AD132,Configuration!$D$19,0)</f>
        <v>0.33333333333333337</v>
      </c>
      <c r="AE133" s="68">
        <f>IF(AE132,Configuration!$D$19,0)</f>
        <v>0.33333333333333337</v>
      </c>
      <c r="AF133" s="68">
        <f>IF(AF132,Configuration!$D$19,0)</f>
        <v>0</v>
      </c>
      <c r="AG133" s="68">
        <f>IF(AG132,Configuration!$D$19,0)</f>
        <v>0</v>
      </c>
      <c r="AH133" s="68">
        <f>IF(AH132,Configuration!$D$19,0)</f>
        <v>0.33333333333333337</v>
      </c>
    </row>
    <row r="134" spans="2:34" s="34" customFormat="1" hidden="1" x14ac:dyDescent="0.25">
      <c r="C134" s="34" t="s">
        <v>28</v>
      </c>
      <c r="D134" s="68">
        <f>SUM(D3:D118)</f>
        <v>0</v>
      </c>
      <c r="E134" s="68">
        <f t="shared" ref="E134:AH134" si="4">SUM(E3:E118)</f>
        <v>0</v>
      </c>
      <c r="F134" s="68">
        <f t="shared" si="4"/>
        <v>0</v>
      </c>
      <c r="G134" s="68">
        <f t="shared" si="4"/>
        <v>0</v>
      </c>
      <c r="H134" s="68">
        <f t="shared" si="4"/>
        <v>0</v>
      </c>
      <c r="I134" s="68">
        <f t="shared" si="4"/>
        <v>0</v>
      </c>
      <c r="J134" s="68">
        <f t="shared" si="4"/>
        <v>0</v>
      </c>
      <c r="K134" s="68">
        <f t="shared" si="4"/>
        <v>0</v>
      </c>
      <c r="L134" s="68">
        <f t="shared" si="4"/>
        <v>0</v>
      </c>
      <c r="M134" s="68">
        <f t="shared" si="4"/>
        <v>0</v>
      </c>
      <c r="N134" s="68">
        <f t="shared" si="4"/>
        <v>0</v>
      </c>
      <c r="O134" s="68">
        <f t="shared" si="4"/>
        <v>0</v>
      </c>
      <c r="P134" s="68">
        <f t="shared" si="4"/>
        <v>0</v>
      </c>
      <c r="Q134" s="68">
        <f t="shared" si="4"/>
        <v>0</v>
      </c>
      <c r="R134" s="68">
        <f t="shared" si="4"/>
        <v>0</v>
      </c>
      <c r="S134" s="68">
        <f t="shared" si="4"/>
        <v>0</v>
      </c>
      <c r="T134" s="68">
        <f t="shared" si="4"/>
        <v>0</v>
      </c>
      <c r="U134" s="68">
        <f t="shared" si="4"/>
        <v>0</v>
      </c>
      <c r="V134" s="68">
        <f t="shared" si="4"/>
        <v>0</v>
      </c>
      <c r="W134" s="68">
        <f t="shared" si="4"/>
        <v>0</v>
      </c>
      <c r="X134" s="68">
        <f t="shared" si="4"/>
        <v>0</v>
      </c>
      <c r="Y134" s="68">
        <f t="shared" si="4"/>
        <v>0</v>
      </c>
      <c r="Z134" s="68">
        <f t="shared" si="4"/>
        <v>0</v>
      </c>
      <c r="AA134" s="68">
        <f t="shared" si="4"/>
        <v>0</v>
      </c>
      <c r="AB134" s="68">
        <f t="shared" si="4"/>
        <v>0</v>
      </c>
      <c r="AC134" s="68">
        <f t="shared" si="4"/>
        <v>0</v>
      </c>
      <c r="AD134" s="68">
        <f t="shared" si="4"/>
        <v>0</v>
      </c>
      <c r="AE134" s="68">
        <f t="shared" si="4"/>
        <v>0</v>
      </c>
      <c r="AF134" s="68">
        <f t="shared" si="4"/>
        <v>0</v>
      </c>
      <c r="AG134" s="68">
        <f t="shared" si="4"/>
        <v>0</v>
      </c>
      <c r="AH134" s="68">
        <f t="shared" si="4"/>
        <v>0</v>
      </c>
    </row>
    <row r="135" spans="2:34" s="34" customFormat="1" hidden="1" x14ac:dyDescent="0.25">
      <c r="C135" s="34" t="s">
        <v>29</v>
      </c>
      <c r="D135" s="68" t="str">
        <f>IF(SUM(D7:D118)&gt;0,SUM(D7:D118),"")</f>
        <v/>
      </c>
      <c r="E135" s="68" t="str">
        <f t="shared" ref="E135:AH135" si="5">IF(SUM(E7:E118)&gt;0,SUM(E7:E118),"")</f>
        <v/>
      </c>
      <c r="F135" s="68" t="str">
        <f t="shared" si="5"/>
        <v/>
      </c>
      <c r="G135" s="68" t="str">
        <f t="shared" si="5"/>
        <v/>
      </c>
      <c r="H135" s="68" t="str">
        <f t="shared" si="5"/>
        <v/>
      </c>
      <c r="I135" s="68" t="str">
        <f t="shared" si="5"/>
        <v/>
      </c>
      <c r="J135" s="68" t="str">
        <f t="shared" si="5"/>
        <v/>
      </c>
      <c r="K135" s="68" t="str">
        <f t="shared" si="5"/>
        <v/>
      </c>
      <c r="L135" s="68" t="str">
        <f t="shared" si="5"/>
        <v/>
      </c>
      <c r="M135" s="68" t="str">
        <f t="shared" si="5"/>
        <v/>
      </c>
      <c r="N135" s="68" t="str">
        <f t="shared" si="5"/>
        <v/>
      </c>
      <c r="O135" s="68" t="str">
        <f t="shared" si="5"/>
        <v/>
      </c>
      <c r="P135" s="68" t="str">
        <f t="shared" si="5"/>
        <v/>
      </c>
      <c r="Q135" s="68" t="str">
        <f t="shared" si="5"/>
        <v/>
      </c>
      <c r="R135" s="68" t="str">
        <f t="shared" si="5"/>
        <v/>
      </c>
      <c r="S135" s="68" t="str">
        <f t="shared" si="5"/>
        <v/>
      </c>
      <c r="T135" s="68" t="str">
        <f t="shared" si="5"/>
        <v/>
      </c>
      <c r="U135" s="68" t="str">
        <f t="shared" si="5"/>
        <v/>
      </c>
      <c r="V135" s="68" t="str">
        <f t="shared" si="5"/>
        <v/>
      </c>
      <c r="W135" s="68" t="str">
        <f t="shared" si="5"/>
        <v/>
      </c>
      <c r="X135" s="68" t="str">
        <f t="shared" si="5"/>
        <v/>
      </c>
      <c r="Y135" s="68" t="str">
        <f t="shared" si="5"/>
        <v/>
      </c>
      <c r="Z135" s="68" t="str">
        <f t="shared" si="5"/>
        <v/>
      </c>
      <c r="AA135" s="68" t="str">
        <f t="shared" si="5"/>
        <v/>
      </c>
      <c r="AB135" s="68" t="str">
        <f t="shared" si="5"/>
        <v/>
      </c>
      <c r="AC135" s="68" t="str">
        <f t="shared" si="5"/>
        <v/>
      </c>
      <c r="AD135" s="68" t="str">
        <f t="shared" si="5"/>
        <v/>
      </c>
      <c r="AE135" s="68" t="str">
        <f t="shared" si="5"/>
        <v/>
      </c>
      <c r="AF135" s="68" t="str">
        <f t="shared" si="5"/>
        <v/>
      </c>
      <c r="AG135" s="68" t="str">
        <f t="shared" si="5"/>
        <v/>
      </c>
      <c r="AH135" s="68" t="str">
        <f t="shared" si="5"/>
        <v/>
      </c>
    </row>
    <row r="137" spans="2:34" hidden="1" x14ac:dyDescent="0.25">
      <c r="C137" s="34" t="s">
        <v>30</v>
      </c>
      <c r="D137" s="59" t="str">
        <f t="shared" ref="D137:AH137" si="6">IF(D3&gt;0,$C137&amp;", ","")</f>
        <v/>
      </c>
      <c r="E137" s="59" t="str">
        <f t="shared" si="6"/>
        <v/>
      </c>
      <c r="F137" s="59" t="str">
        <f t="shared" si="6"/>
        <v/>
      </c>
      <c r="G137" s="59" t="str">
        <f t="shared" si="6"/>
        <v/>
      </c>
      <c r="H137" s="59" t="str">
        <f t="shared" si="6"/>
        <v/>
      </c>
      <c r="I137" s="59" t="str">
        <f t="shared" si="6"/>
        <v/>
      </c>
      <c r="J137" s="59" t="str">
        <f t="shared" si="6"/>
        <v/>
      </c>
      <c r="K137" s="59" t="str">
        <f t="shared" si="6"/>
        <v/>
      </c>
      <c r="L137" s="59" t="str">
        <f t="shared" si="6"/>
        <v/>
      </c>
      <c r="M137" s="59" t="str">
        <f t="shared" si="6"/>
        <v/>
      </c>
      <c r="N137" s="59" t="str">
        <f t="shared" si="6"/>
        <v/>
      </c>
      <c r="O137" s="59" t="str">
        <f t="shared" si="6"/>
        <v/>
      </c>
      <c r="P137" s="59" t="str">
        <f t="shared" si="6"/>
        <v/>
      </c>
      <c r="Q137" s="59" t="str">
        <f t="shared" si="6"/>
        <v/>
      </c>
      <c r="R137" s="59" t="str">
        <f t="shared" si="6"/>
        <v/>
      </c>
      <c r="S137" s="59" t="str">
        <f t="shared" si="6"/>
        <v/>
      </c>
      <c r="T137" s="59" t="str">
        <f t="shared" si="6"/>
        <v/>
      </c>
      <c r="U137" s="59" t="str">
        <f t="shared" si="6"/>
        <v/>
      </c>
      <c r="V137" s="59" t="str">
        <f t="shared" si="6"/>
        <v/>
      </c>
      <c r="W137" s="59" t="str">
        <f t="shared" si="6"/>
        <v/>
      </c>
      <c r="X137" s="59" t="str">
        <f t="shared" si="6"/>
        <v/>
      </c>
      <c r="Y137" s="59" t="str">
        <f t="shared" si="6"/>
        <v/>
      </c>
      <c r="Z137" s="59" t="str">
        <f t="shared" si="6"/>
        <v/>
      </c>
      <c r="AA137" s="59" t="str">
        <f t="shared" si="6"/>
        <v/>
      </c>
      <c r="AB137" s="59" t="str">
        <f t="shared" si="6"/>
        <v/>
      </c>
      <c r="AC137" s="59" t="str">
        <f t="shared" si="6"/>
        <v/>
      </c>
      <c r="AD137" s="59" t="str">
        <f t="shared" si="6"/>
        <v/>
      </c>
      <c r="AE137" s="59" t="str">
        <f t="shared" si="6"/>
        <v/>
      </c>
      <c r="AF137" s="59" t="str">
        <f t="shared" si="6"/>
        <v/>
      </c>
      <c r="AG137" s="59" t="str">
        <f t="shared" si="6"/>
        <v/>
      </c>
      <c r="AH137" s="59" t="str">
        <f t="shared" si="6"/>
        <v/>
      </c>
    </row>
    <row r="138" spans="2:34" hidden="1" x14ac:dyDescent="0.25">
      <c r="C138" s="34" t="s">
        <v>31</v>
      </c>
      <c r="D138" s="59" t="str">
        <f t="shared" ref="D138:AH138" si="7">IF(D4&gt;0,$C138&amp;", ","")</f>
        <v/>
      </c>
      <c r="E138" s="59" t="str">
        <f t="shared" si="7"/>
        <v/>
      </c>
      <c r="F138" s="59" t="str">
        <f t="shared" si="7"/>
        <v/>
      </c>
      <c r="G138" s="59" t="str">
        <f t="shared" si="7"/>
        <v/>
      </c>
      <c r="H138" s="59" t="str">
        <f t="shared" si="7"/>
        <v/>
      </c>
      <c r="I138" s="59" t="str">
        <f t="shared" si="7"/>
        <v/>
      </c>
      <c r="J138" s="59" t="str">
        <f t="shared" si="7"/>
        <v/>
      </c>
      <c r="K138" s="59" t="str">
        <f t="shared" si="7"/>
        <v/>
      </c>
      <c r="L138" s="59" t="str">
        <f t="shared" si="7"/>
        <v/>
      </c>
      <c r="M138" s="59" t="str">
        <f t="shared" si="7"/>
        <v/>
      </c>
      <c r="N138" s="59" t="str">
        <f t="shared" si="7"/>
        <v/>
      </c>
      <c r="O138" s="59" t="str">
        <f t="shared" si="7"/>
        <v/>
      </c>
      <c r="P138" s="59" t="str">
        <f t="shared" si="7"/>
        <v/>
      </c>
      <c r="Q138" s="59" t="str">
        <f t="shared" si="7"/>
        <v/>
      </c>
      <c r="R138" s="59" t="str">
        <f t="shared" si="7"/>
        <v/>
      </c>
      <c r="S138" s="59" t="str">
        <f t="shared" si="7"/>
        <v/>
      </c>
      <c r="T138" s="59" t="str">
        <f t="shared" si="7"/>
        <v/>
      </c>
      <c r="U138" s="59" t="str">
        <f t="shared" si="7"/>
        <v/>
      </c>
      <c r="V138" s="59" t="str">
        <f t="shared" si="7"/>
        <v/>
      </c>
      <c r="W138" s="59" t="str">
        <f t="shared" si="7"/>
        <v/>
      </c>
      <c r="X138" s="59" t="str">
        <f t="shared" si="7"/>
        <v/>
      </c>
      <c r="Y138" s="59" t="str">
        <f t="shared" si="7"/>
        <v/>
      </c>
      <c r="Z138" s="59" t="str">
        <f t="shared" si="7"/>
        <v/>
      </c>
      <c r="AA138" s="59" t="str">
        <f t="shared" si="7"/>
        <v/>
      </c>
      <c r="AB138" s="59" t="str">
        <f t="shared" si="7"/>
        <v/>
      </c>
      <c r="AC138" s="59" t="str">
        <f t="shared" si="7"/>
        <v/>
      </c>
      <c r="AD138" s="59" t="str">
        <f t="shared" si="7"/>
        <v/>
      </c>
      <c r="AE138" s="59" t="str">
        <f t="shared" si="7"/>
        <v/>
      </c>
      <c r="AF138" s="59" t="str">
        <f t="shared" si="7"/>
        <v/>
      </c>
      <c r="AG138" s="59" t="str">
        <f t="shared" si="7"/>
        <v/>
      </c>
      <c r="AH138" s="59" t="str">
        <f t="shared" si="7"/>
        <v/>
      </c>
    </row>
    <row r="139" spans="2:34" hidden="1" x14ac:dyDescent="0.25">
      <c r="C139" s="34" t="s">
        <v>23</v>
      </c>
      <c r="D139" s="59" t="str">
        <f t="shared" ref="D139:AH139" si="8">IF(D5&gt;0,$C139&amp;", ","")</f>
        <v/>
      </c>
      <c r="E139" s="59" t="str">
        <f t="shared" si="8"/>
        <v/>
      </c>
      <c r="F139" s="59" t="str">
        <f t="shared" si="8"/>
        <v/>
      </c>
      <c r="G139" s="59" t="str">
        <f t="shared" si="8"/>
        <v/>
      </c>
      <c r="H139" s="59" t="str">
        <f t="shared" si="8"/>
        <v/>
      </c>
      <c r="I139" s="59" t="str">
        <f t="shared" si="8"/>
        <v/>
      </c>
      <c r="J139" s="59" t="str">
        <f t="shared" si="8"/>
        <v/>
      </c>
      <c r="K139" s="59" t="str">
        <f t="shared" si="8"/>
        <v/>
      </c>
      <c r="L139" s="59" t="str">
        <f t="shared" si="8"/>
        <v/>
      </c>
      <c r="M139" s="59" t="str">
        <f t="shared" si="8"/>
        <v/>
      </c>
      <c r="N139" s="59" t="str">
        <f t="shared" si="8"/>
        <v/>
      </c>
      <c r="O139" s="59" t="str">
        <f t="shared" si="8"/>
        <v/>
      </c>
      <c r="P139" s="59" t="str">
        <f t="shared" si="8"/>
        <v/>
      </c>
      <c r="Q139" s="59" t="str">
        <f t="shared" si="8"/>
        <v/>
      </c>
      <c r="R139" s="59" t="str">
        <f t="shared" si="8"/>
        <v/>
      </c>
      <c r="S139" s="59" t="str">
        <f t="shared" si="8"/>
        <v/>
      </c>
      <c r="T139" s="59" t="str">
        <f t="shared" si="8"/>
        <v/>
      </c>
      <c r="U139" s="59" t="str">
        <f t="shared" si="8"/>
        <v/>
      </c>
      <c r="V139" s="59" t="str">
        <f t="shared" si="8"/>
        <v/>
      </c>
      <c r="W139" s="59" t="str">
        <f t="shared" si="8"/>
        <v/>
      </c>
      <c r="X139" s="59" t="str">
        <f t="shared" si="8"/>
        <v/>
      </c>
      <c r="Y139" s="59" t="str">
        <f t="shared" si="8"/>
        <v/>
      </c>
      <c r="Z139" s="59" t="str">
        <f t="shared" si="8"/>
        <v/>
      </c>
      <c r="AA139" s="59" t="str">
        <f t="shared" si="8"/>
        <v/>
      </c>
      <c r="AB139" s="59" t="str">
        <f t="shared" si="8"/>
        <v/>
      </c>
      <c r="AC139" s="59" t="str">
        <f t="shared" si="8"/>
        <v/>
      </c>
      <c r="AD139" s="59" t="str">
        <f t="shared" si="8"/>
        <v/>
      </c>
      <c r="AE139" s="59" t="str">
        <f t="shared" si="8"/>
        <v/>
      </c>
      <c r="AF139" s="59" t="str">
        <f t="shared" si="8"/>
        <v/>
      </c>
      <c r="AG139" s="59" t="str">
        <f t="shared" si="8"/>
        <v/>
      </c>
      <c r="AH139" s="59" t="str">
        <f t="shared" si="8"/>
        <v/>
      </c>
    </row>
    <row r="140" spans="2:34" hidden="1" x14ac:dyDescent="0.25">
      <c r="C140" s="34" t="s">
        <v>32</v>
      </c>
      <c r="D140" s="59" t="str">
        <f t="shared" ref="D140:AH140" si="9">IF(D6&gt;0,$C140&amp;", ","")</f>
        <v/>
      </c>
      <c r="E140" s="59" t="str">
        <f t="shared" si="9"/>
        <v/>
      </c>
      <c r="F140" s="59" t="str">
        <f t="shared" si="9"/>
        <v/>
      </c>
      <c r="G140" s="59" t="str">
        <f t="shared" si="9"/>
        <v/>
      </c>
      <c r="H140" s="59" t="str">
        <f t="shared" si="9"/>
        <v/>
      </c>
      <c r="I140" s="59" t="str">
        <f t="shared" si="9"/>
        <v/>
      </c>
      <c r="J140" s="59" t="str">
        <f t="shared" si="9"/>
        <v/>
      </c>
      <c r="K140" s="59" t="str">
        <f t="shared" si="9"/>
        <v/>
      </c>
      <c r="L140" s="59" t="str">
        <f t="shared" si="9"/>
        <v/>
      </c>
      <c r="M140" s="59" t="str">
        <f t="shared" si="9"/>
        <v/>
      </c>
      <c r="N140" s="59" t="str">
        <f t="shared" si="9"/>
        <v/>
      </c>
      <c r="O140" s="59" t="str">
        <f t="shared" si="9"/>
        <v/>
      </c>
      <c r="P140" s="59" t="str">
        <f t="shared" si="9"/>
        <v/>
      </c>
      <c r="Q140" s="59" t="str">
        <f t="shared" si="9"/>
        <v/>
      </c>
      <c r="R140" s="59" t="str">
        <f t="shared" si="9"/>
        <v/>
      </c>
      <c r="S140" s="59" t="str">
        <f t="shared" si="9"/>
        <v/>
      </c>
      <c r="T140" s="59" t="str">
        <f t="shared" si="9"/>
        <v/>
      </c>
      <c r="U140" s="59" t="str">
        <f t="shared" si="9"/>
        <v/>
      </c>
      <c r="V140" s="59" t="str">
        <f t="shared" si="9"/>
        <v/>
      </c>
      <c r="W140" s="59" t="str">
        <f t="shared" si="9"/>
        <v/>
      </c>
      <c r="X140" s="59" t="str">
        <f t="shared" si="9"/>
        <v/>
      </c>
      <c r="Y140" s="59" t="str">
        <f t="shared" si="9"/>
        <v/>
      </c>
      <c r="Z140" s="59" t="str">
        <f t="shared" si="9"/>
        <v/>
      </c>
      <c r="AA140" s="59" t="str">
        <f t="shared" si="9"/>
        <v/>
      </c>
      <c r="AB140" s="59" t="str">
        <f t="shared" si="9"/>
        <v/>
      </c>
      <c r="AC140" s="59" t="str">
        <f t="shared" si="9"/>
        <v/>
      </c>
      <c r="AD140" s="59" t="str">
        <f t="shared" si="9"/>
        <v/>
      </c>
      <c r="AE140" s="59" t="str">
        <f t="shared" si="9"/>
        <v/>
      </c>
      <c r="AF140" s="59" t="str">
        <f t="shared" si="9"/>
        <v/>
      </c>
      <c r="AG140" s="59" t="str">
        <f t="shared" si="9"/>
        <v/>
      </c>
      <c r="AH140" s="59" t="str">
        <f t="shared" si="9"/>
        <v/>
      </c>
    </row>
  </sheetData>
  <conditionalFormatting sqref="D2:AH2">
    <cfRule type="expression" dxfId="5" priority="1" stopIfTrue="1">
      <formula>OR(AND(D132,D134&gt;D133),AND(NOT(D132),D134&gt;0))</formula>
    </cfRule>
    <cfRule type="expression" dxfId="4" priority="15" stopIfTrue="1">
      <formula>AND(D132,OR(D134=D133,AND(D133=0,D134="")))</formula>
    </cfRule>
  </conditionalFormatting>
  <conditionalFormatting sqref="D2:AH118">
    <cfRule type="expression" dxfId="3" priority="17" stopIfTrue="1">
      <formula>OR(WEEKDAY(D$2)=7,WEEKDAY(D$2)=1)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7236043-8DD9-4153-8842-5A24BEF171F1}">
          <x14:formula1>
            <xm:f>'Codes projet'!$A$2:$A$801</xm:f>
          </x14:formula1>
          <xm:sqref>B7:B118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5E767-BB80-4F39-AD8C-03A0BD11B651}">
  <dimension ref="A1:S50"/>
  <sheetViews>
    <sheetView workbookViewId="0">
      <selection activeCell="D3" sqref="D3:K3"/>
    </sheetView>
  </sheetViews>
  <sheetFormatPr defaultColWidth="0" defaultRowHeight="0" customHeight="1" zeroHeight="1" x14ac:dyDescent="0.25"/>
  <cols>
    <col min="1" max="1" width="2.5703125" style="12" customWidth="1"/>
    <col min="2" max="2" width="3.5703125" style="12" customWidth="1"/>
    <col min="3" max="3" width="9.85546875" style="12" customWidth="1"/>
    <col min="4" max="4" width="8.28515625" style="12" customWidth="1"/>
    <col min="5" max="5" width="1.7109375" style="12" customWidth="1"/>
    <col min="6" max="6" width="16.28515625" style="12" customWidth="1"/>
    <col min="7" max="7" width="1.7109375" style="12" customWidth="1"/>
    <col min="8" max="8" width="13" style="12" customWidth="1"/>
    <col min="9" max="9" width="7.28515625" style="12" customWidth="1"/>
    <col min="10" max="10" width="21.5703125" style="12" customWidth="1"/>
    <col min="11" max="11" width="3.5703125" style="12" customWidth="1"/>
    <col min="12" max="12" width="3" style="12" customWidth="1"/>
    <col min="13" max="16384" width="9.140625" style="12" hidden="1"/>
  </cols>
  <sheetData>
    <row r="1" spans="1:19" ht="15" x14ac:dyDescent="0.25"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9" ht="36.75" customHeight="1" x14ac:dyDescent="0.4">
      <c r="A2" s="14"/>
      <c r="B2" s="15"/>
      <c r="C2" s="16"/>
      <c r="D2" s="145" t="s">
        <v>33</v>
      </c>
      <c r="E2" s="145"/>
      <c r="F2" s="145"/>
      <c r="G2" s="145"/>
      <c r="H2" s="145"/>
      <c r="I2" s="145"/>
      <c r="J2" s="145"/>
      <c r="K2" s="146"/>
      <c r="L2" s="17"/>
    </row>
    <row r="3" spans="1:19" ht="35.25" customHeight="1" x14ac:dyDescent="0.25">
      <c r="A3" s="14"/>
      <c r="B3" s="18"/>
      <c r="C3" s="19"/>
      <c r="D3" s="147">
        <f>Configuration!D13</f>
        <v>0</v>
      </c>
      <c r="E3" s="147"/>
      <c r="F3" s="147"/>
      <c r="G3" s="147"/>
      <c r="H3" s="147"/>
      <c r="I3" s="147"/>
      <c r="J3" s="147"/>
      <c r="K3" s="148"/>
      <c r="L3" s="20"/>
    </row>
    <row r="4" spans="1:19" ht="33.75" customHeight="1" x14ac:dyDescent="0.25">
      <c r="A4" s="14"/>
      <c r="B4" s="7"/>
      <c r="C4" s="30" t="s">
        <v>34</v>
      </c>
      <c r="D4" s="156" t="str">
        <f>Configuration!D17</f>
        <v>Wavenet</v>
      </c>
      <c r="E4" s="156"/>
      <c r="F4" s="157"/>
      <c r="G4" s="100"/>
      <c r="H4" s="30" t="s">
        <v>35</v>
      </c>
      <c r="I4" s="156" t="str">
        <f>Configuration!D15&amp;" "&amp;Configuration!D14</f>
        <v xml:space="preserve"> </v>
      </c>
      <c r="J4" s="156"/>
      <c r="K4" s="8"/>
      <c r="L4" s="20"/>
    </row>
    <row r="5" spans="1:19" ht="15" customHeight="1" x14ac:dyDescent="0.25">
      <c r="A5" s="23"/>
      <c r="B5" s="24"/>
      <c r="C5" s="25" t="s">
        <v>36</v>
      </c>
      <c r="D5" s="26" t="s">
        <v>37</v>
      </c>
      <c r="E5" s="26"/>
      <c r="F5" s="25" t="s">
        <v>38</v>
      </c>
      <c r="G5" s="25"/>
      <c r="H5" s="25"/>
      <c r="I5" s="26"/>
      <c r="J5" s="25"/>
      <c r="K5" s="27"/>
      <c r="L5" s="28"/>
    </row>
    <row r="6" spans="1:19" ht="8.25" customHeight="1" x14ac:dyDescent="0.25">
      <c r="A6" s="23"/>
      <c r="B6" s="28"/>
      <c r="C6" s="69"/>
      <c r="D6" s="70"/>
      <c r="E6" s="70"/>
      <c r="F6" s="69"/>
      <c r="G6" s="69"/>
      <c r="H6" s="69"/>
      <c r="I6" s="70"/>
      <c r="J6" s="69"/>
      <c r="K6" s="23"/>
      <c r="L6" s="28"/>
    </row>
    <row r="7" spans="1:19" ht="14.45" customHeight="1" x14ac:dyDescent="0.25">
      <c r="A7" s="14"/>
      <c r="B7" s="7"/>
      <c r="C7" s="1">
        <f>Configuration!D13</f>
        <v>0</v>
      </c>
      <c r="D7" s="3" t="str">
        <f t="array" ref="D7:D37">TRANSPOSE(Prestations!D135:AH135)</f>
        <v/>
      </c>
      <c r="E7" s="3"/>
      <c r="F7" s="150" t="str">
        <f>IF(S7="","",LEFT(S7, LEN(S7)-2))</f>
        <v/>
      </c>
      <c r="G7" s="150"/>
      <c r="H7" s="150"/>
      <c r="I7" s="150"/>
      <c r="J7" s="150"/>
      <c r="K7" s="8"/>
      <c r="L7" s="20"/>
      <c r="O7" s="12" t="str">
        <f t="array" ref="O7:R37">TRANSPOSE(Prestations!D137:AH140)</f>
        <v/>
      </c>
      <c r="P7" s="12" t="str">
        <v/>
      </c>
      <c r="Q7" s="12" t="str">
        <v/>
      </c>
      <c r="R7" s="12" t="str">
        <v/>
      </c>
      <c r="S7" s="12" t="str">
        <f>O7&amp;P7&amp;Q7&amp;R7</f>
        <v/>
      </c>
    </row>
    <row r="8" spans="1:19" ht="14.45" customHeight="1" x14ac:dyDescent="0.25">
      <c r="A8" s="14"/>
      <c r="B8" s="9"/>
      <c r="C8" s="1">
        <f t="shared" ref="C8:C34" si="0">C7+1</f>
        <v>1</v>
      </c>
      <c r="D8" s="3" t="str">
        <v/>
      </c>
      <c r="E8" s="3"/>
      <c r="F8" s="150" t="str">
        <f t="shared" ref="F8:F37" si="1">IF(S8="","",LEFT(S8, LEN(S8)-2))</f>
        <v/>
      </c>
      <c r="G8" s="150"/>
      <c r="H8" s="150"/>
      <c r="I8" s="150"/>
      <c r="J8" s="150"/>
      <c r="K8" s="8"/>
      <c r="L8" s="20"/>
      <c r="O8" s="12" t="str">
        <v/>
      </c>
      <c r="P8" s="12" t="str">
        <v/>
      </c>
      <c r="Q8" s="12" t="str">
        <v/>
      </c>
      <c r="R8" s="12" t="str">
        <v/>
      </c>
      <c r="S8" s="12" t="str">
        <f t="shared" ref="S8:S37" si="2">O8&amp;P8&amp;Q8&amp;R8</f>
        <v/>
      </c>
    </row>
    <row r="9" spans="1:19" ht="14.45" customHeight="1" x14ac:dyDescent="0.25">
      <c r="A9" s="14"/>
      <c r="B9" s="9"/>
      <c r="C9" s="1">
        <f t="shared" si="0"/>
        <v>2</v>
      </c>
      <c r="D9" s="3" t="str">
        <v/>
      </c>
      <c r="E9" s="3"/>
      <c r="F9" s="150" t="str">
        <f t="shared" si="1"/>
        <v/>
      </c>
      <c r="G9" s="150"/>
      <c r="H9" s="150"/>
      <c r="I9" s="150"/>
      <c r="J9" s="150"/>
      <c r="K9" s="8"/>
      <c r="L9" s="20"/>
      <c r="O9" s="12" t="str">
        <v/>
      </c>
      <c r="P9" s="12" t="str">
        <v/>
      </c>
      <c r="Q9" s="12" t="str">
        <v/>
      </c>
      <c r="R9" s="12" t="str">
        <v/>
      </c>
      <c r="S9" s="12" t="str">
        <f t="shared" si="2"/>
        <v/>
      </c>
    </row>
    <row r="10" spans="1:19" ht="14.45" customHeight="1" x14ac:dyDescent="0.25">
      <c r="A10" s="14"/>
      <c r="B10" s="9"/>
      <c r="C10" s="1">
        <f t="shared" si="0"/>
        <v>3</v>
      </c>
      <c r="D10" s="3" t="str">
        <v/>
      </c>
      <c r="E10" s="3"/>
      <c r="F10" s="150" t="str">
        <f t="shared" si="1"/>
        <v/>
      </c>
      <c r="G10" s="150"/>
      <c r="H10" s="150"/>
      <c r="I10" s="150"/>
      <c r="J10" s="150"/>
      <c r="K10" s="8"/>
      <c r="L10" s="20"/>
      <c r="O10" s="12" t="str">
        <v/>
      </c>
      <c r="P10" s="12" t="str">
        <v/>
      </c>
      <c r="Q10" s="12" t="str">
        <v/>
      </c>
      <c r="R10" s="12" t="str">
        <v/>
      </c>
      <c r="S10" s="12" t="str">
        <f t="shared" si="2"/>
        <v/>
      </c>
    </row>
    <row r="11" spans="1:19" ht="14.45" customHeight="1" x14ac:dyDescent="0.25">
      <c r="A11" s="14"/>
      <c r="B11" s="9"/>
      <c r="C11" s="1">
        <f t="shared" si="0"/>
        <v>4</v>
      </c>
      <c r="D11" s="3" t="str">
        <v/>
      </c>
      <c r="E11" s="3"/>
      <c r="F11" s="150" t="str">
        <f t="shared" si="1"/>
        <v/>
      </c>
      <c r="G11" s="150"/>
      <c r="H11" s="150"/>
      <c r="I11" s="150"/>
      <c r="J11" s="150"/>
      <c r="K11" s="8"/>
      <c r="L11" s="20"/>
      <c r="O11" s="12" t="str">
        <v/>
      </c>
      <c r="P11" s="12" t="str">
        <v/>
      </c>
      <c r="Q11" s="12" t="str">
        <v/>
      </c>
      <c r="R11" s="12" t="str">
        <v/>
      </c>
      <c r="S11" s="12" t="str">
        <f t="shared" si="2"/>
        <v/>
      </c>
    </row>
    <row r="12" spans="1:19" ht="14.45" customHeight="1" x14ac:dyDescent="0.25">
      <c r="A12" s="14"/>
      <c r="B12" s="9"/>
      <c r="C12" s="1">
        <f t="shared" si="0"/>
        <v>5</v>
      </c>
      <c r="D12" s="3" t="str">
        <v/>
      </c>
      <c r="E12" s="3"/>
      <c r="F12" s="150" t="str">
        <f t="shared" si="1"/>
        <v/>
      </c>
      <c r="G12" s="150"/>
      <c r="H12" s="150"/>
      <c r="I12" s="150"/>
      <c r="J12" s="150"/>
      <c r="K12" s="8"/>
      <c r="L12" s="20"/>
      <c r="O12" s="12" t="str">
        <v/>
      </c>
      <c r="P12" s="12" t="str">
        <v/>
      </c>
      <c r="Q12" s="12" t="str">
        <v/>
      </c>
      <c r="R12" s="12" t="str">
        <v/>
      </c>
      <c r="S12" s="12" t="str">
        <f t="shared" si="2"/>
        <v/>
      </c>
    </row>
    <row r="13" spans="1:19" ht="14.45" customHeight="1" x14ac:dyDescent="0.25">
      <c r="A13" s="14"/>
      <c r="B13" s="9"/>
      <c r="C13" s="1">
        <f t="shared" si="0"/>
        <v>6</v>
      </c>
      <c r="D13" s="3" t="str">
        <v/>
      </c>
      <c r="E13" s="3"/>
      <c r="F13" s="150" t="str">
        <f t="shared" si="1"/>
        <v/>
      </c>
      <c r="G13" s="150"/>
      <c r="H13" s="150"/>
      <c r="I13" s="150"/>
      <c r="J13" s="150"/>
      <c r="K13" s="8"/>
      <c r="L13" s="20"/>
      <c r="O13" s="12" t="str">
        <v/>
      </c>
      <c r="P13" s="12" t="str">
        <v/>
      </c>
      <c r="Q13" s="12" t="str">
        <v/>
      </c>
      <c r="R13" s="12" t="str">
        <v/>
      </c>
      <c r="S13" s="12" t="str">
        <f t="shared" si="2"/>
        <v/>
      </c>
    </row>
    <row r="14" spans="1:19" ht="14.45" customHeight="1" x14ac:dyDescent="0.25">
      <c r="A14" s="14"/>
      <c r="B14" s="9"/>
      <c r="C14" s="1">
        <f t="shared" si="0"/>
        <v>7</v>
      </c>
      <c r="D14" s="3" t="str">
        <v/>
      </c>
      <c r="E14" s="3"/>
      <c r="F14" s="150" t="str">
        <f t="shared" si="1"/>
        <v/>
      </c>
      <c r="G14" s="150"/>
      <c r="H14" s="150"/>
      <c r="I14" s="150"/>
      <c r="J14" s="150"/>
      <c r="K14" s="8"/>
      <c r="L14" s="20"/>
      <c r="O14" s="12" t="str">
        <v/>
      </c>
      <c r="P14" s="12" t="str">
        <v/>
      </c>
      <c r="Q14" s="12" t="str">
        <v/>
      </c>
      <c r="R14" s="12" t="str">
        <v/>
      </c>
      <c r="S14" s="12" t="str">
        <f t="shared" si="2"/>
        <v/>
      </c>
    </row>
    <row r="15" spans="1:19" ht="14.45" customHeight="1" x14ac:dyDescent="0.25">
      <c r="A15" s="14"/>
      <c r="B15" s="9"/>
      <c r="C15" s="1">
        <f t="shared" si="0"/>
        <v>8</v>
      </c>
      <c r="D15" s="3" t="str">
        <v/>
      </c>
      <c r="E15" s="3"/>
      <c r="F15" s="150" t="str">
        <f t="shared" si="1"/>
        <v/>
      </c>
      <c r="G15" s="150"/>
      <c r="H15" s="150"/>
      <c r="I15" s="150"/>
      <c r="J15" s="150"/>
      <c r="K15" s="8"/>
      <c r="L15" s="20"/>
      <c r="O15" s="12" t="str">
        <v/>
      </c>
      <c r="P15" s="12" t="str">
        <v/>
      </c>
      <c r="Q15" s="12" t="str">
        <v/>
      </c>
      <c r="R15" s="12" t="str">
        <v/>
      </c>
      <c r="S15" s="12" t="str">
        <f t="shared" si="2"/>
        <v/>
      </c>
    </row>
    <row r="16" spans="1:19" ht="14.45" customHeight="1" x14ac:dyDescent="0.25">
      <c r="A16" s="14"/>
      <c r="B16" s="9"/>
      <c r="C16" s="1">
        <f t="shared" si="0"/>
        <v>9</v>
      </c>
      <c r="D16" s="3" t="str">
        <v/>
      </c>
      <c r="E16" s="3"/>
      <c r="F16" s="150" t="str">
        <f t="shared" si="1"/>
        <v/>
      </c>
      <c r="G16" s="150"/>
      <c r="H16" s="150"/>
      <c r="I16" s="150"/>
      <c r="J16" s="150"/>
      <c r="K16" s="8"/>
      <c r="L16" s="20"/>
      <c r="O16" s="12" t="str">
        <v/>
      </c>
      <c r="P16" s="12" t="str">
        <v/>
      </c>
      <c r="Q16" s="12" t="str">
        <v/>
      </c>
      <c r="R16" s="12" t="str">
        <v/>
      </c>
      <c r="S16" s="12" t="str">
        <f t="shared" si="2"/>
        <v/>
      </c>
    </row>
    <row r="17" spans="1:19" ht="14.45" customHeight="1" x14ac:dyDescent="0.25">
      <c r="A17" s="14"/>
      <c r="B17" s="9"/>
      <c r="C17" s="1">
        <f t="shared" si="0"/>
        <v>10</v>
      </c>
      <c r="D17" s="3" t="str">
        <v/>
      </c>
      <c r="E17" s="3"/>
      <c r="F17" s="150" t="str">
        <f t="shared" si="1"/>
        <v/>
      </c>
      <c r="G17" s="150"/>
      <c r="H17" s="150"/>
      <c r="I17" s="150"/>
      <c r="J17" s="150"/>
      <c r="K17" s="8"/>
      <c r="L17" s="20"/>
      <c r="O17" s="12" t="str">
        <v/>
      </c>
      <c r="P17" s="12" t="str">
        <v/>
      </c>
      <c r="Q17" s="12" t="str">
        <v/>
      </c>
      <c r="R17" s="12" t="str">
        <v/>
      </c>
      <c r="S17" s="12" t="str">
        <f t="shared" si="2"/>
        <v/>
      </c>
    </row>
    <row r="18" spans="1:19" ht="14.45" customHeight="1" x14ac:dyDescent="0.25">
      <c r="A18" s="14"/>
      <c r="B18" s="9"/>
      <c r="C18" s="1">
        <f t="shared" si="0"/>
        <v>11</v>
      </c>
      <c r="D18" s="3" t="str">
        <v/>
      </c>
      <c r="E18" s="3"/>
      <c r="F18" s="150" t="str">
        <f t="shared" si="1"/>
        <v/>
      </c>
      <c r="G18" s="150"/>
      <c r="H18" s="150"/>
      <c r="I18" s="150"/>
      <c r="J18" s="150"/>
      <c r="K18" s="8"/>
      <c r="L18" s="20"/>
      <c r="O18" s="12" t="str">
        <v/>
      </c>
      <c r="P18" s="12" t="str">
        <v/>
      </c>
      <c r="Q18" s="12" t="str">
        <v/>
      </c>
      <c r="R18" s="12" t="str">
        <v/>
      </c>
      <c r="S18" s="12" t="str">
        <f t="shared" si="2"/>
        <v/>
      </c>
    </row>
    <row r="19" spans="1:19" ht="14.45" customHeight="1" x14ac:dyDescent="0.25">
      <c r="A19" s="14"/>
      <c r="B19" s="9"/>
      <c r="C19" s="1">
        <f t="shared" si="0"/>
        <v>12</v>
      </c>
      <c r="D19" s="3" t="str">
        <v/>
      </c>
      <c r="E19" s="3"/>
      <c r="F19" s="150" t="str">
        <f t="shared" si="1"/>
        <v/>
      </c>
      <c r="G19" s="150"/>
      <c r="H19" s="150"/>
      <c r="I19" s="150"/>
      <c r="J19" s="150"/>
      <c r="K19" s="8"/>
      <c r="L19" s="20"/>
      <c r="O19" s="12" t="str">
        <v/>
      </c>
      <c r="P19" s="12" t="str">
        <v/>
      </c>
      <c r="Q19" s="12" t="str">
        <v/>
      </c>
      <c r="R19" s="12" t="str">
        <v/>
      </c>
      <c r="S19" s="12" t="str">
        <f t="shared" si="2"/>
        <v/>
      </c>
    </row>
    <row r="20" spans="1:19" ht="14.45" customHeight="1" x14ac:dyDescent="0.25">
      <c r="A20" s="14"/>
      <c r="B20" s="9"/>
      <c r="C20" s="1">
        <f t="shared" si="0"/>
        <v>13</v>
      </c>
      <c r="D20" s="3" t="str">
        <v/>
      </c>
      <c r="E20" s="3"/>
      <c r="F20" s="150" t="str">
        <f t="shared" si="1"/>
        <v/>
      </c>
      <c r="G20" s="150"/>
      <c r="H20" s="150"/>
      <c r="I20" s="150"/>
      <c r="J20" s="150"/>
      <c r="K20" s="8"/>
      <c r="L20" s="20"/>
      <c r="O20" s="12" t="str">
        <v/>
      </c>
      <c r="P20" s="12" t="str">
        <v/>
      </c>
      <c r="Q20" s="12" t="str">
        <v/>
      </c>
      <c r="R20" s="12" t="str">
        <v/>
      </c>
      <c r="S20" s="12" t="str">
        <f t="shared" si="2"/>
        <v/>
      </c>
    </row>
    <row r="21" spans="1:19" ht="14.45" customHeight="1" x14ac:dyDescent="0.25">
      <c r="A21" s="14"/>
      <c r="B21" s="9"/>
      <c r="C21" s="1">
        <f t="shared" si="0"/>
        <v>14</v>
      </c>
      <c r="D21" s="3" t="str">
        <v/>
      </c>
      <c r="E21" s="3"/>
      <c r="F21" s="150" t="str">
        <f t="shared" si="1"/>
        <v/>
      </c>
      <c r="G21" s="150"/>
      <c r="H21" s="150"/>
      <c r="I21" s="150"/>
      <c r="J21" s="150"/>
      <c r="K21" s="8"/>
      <c r="L21" s="20"/>
      <c r="O21" s="12" t="str">
        <v/>
      </c>
      <c r="P21" s="12" t="str">
        <v/>
      </c>
      <c r="Q21" s="12" t="str">
        <v/>
      </c>
      <c r="R21" s="12" t="str">
        <v/>
      </c>
      <c r="S21" s="12" t="str">
        <f t="shared" si="2"/>
        <v/>
      </c>
    </row>
    <row r="22" spans="1:19" ht="14.45" customHeight="1" x14ac:dyDescent="0.25">
      <c r="A22" s="14"/>
      <c r="B22" s="7"/>
      <c r="C22" s="1">
        <f t="shared" si="0"/>
        <v>15</v>
      </c>
      <c r="D22" s="3" t="str">
        <v/>
      </c>
      <c r="E22" s="3"/>
      <c r="F22" s="150" t="str">
        <f t="shared" si="1"/>
        <v/>
      </c>
      <c r="G22" s="150"/>
      <c r="H22" s="150"/>
      <c r="I22" s="150"/>
      <c r="J22" s="150"/>
      <c r="K22" s="8"/>
      <c r="L22" s="20"/>
      <c r="O22" s="12" t="str">
        <v/>
      </c>
      <c r="P22" s="12" t="str">
        <v/>
      </c>
      <c r="Q22" s="12" t="str">
        <v/>
      </c>
      <c r="R22" s="12" t="str">
        <v/>
      </c>
      <c r="S22" s="12" t="str">
        <f t="shared" si="2"/>
        <v/>
      </c>
    </row>
    <row r="23" spans="1:19" ht="14.45" customHeight="1" x14ac:dyDescent="0.25">
      <c r="A23" s="14"/>
      <c r="B23" s="7"/>
      <c r="C23" s="1">
        <f t="shared" si="0"/>
        <v>16</v>
      </c>
      <c r="D23" s="3" t="str">
        <v/>
      </c>
      <c r="E23" s="3"/>
      <c r="F23" s="150" t="str">
        <f t="shared" si="1"/>
        <v/>
      </c>
      <c r="G23" s="150"/>
      <c r="H23" s="150"/>
      <c r="I23" s="150"/>
      <c r="J23" s="150"/>
      <c r="K23" s="8"/>
      <c r="L23" s="20"/>
      <c r="O23" s="12" t="str">
        <v/>
      </c>
      <c r="P23" s="12" t="str">
        <v/>
      </c>
      <c r="Q23" s="12" t="str">
        <v/>
      </c>
      <c r="R23" s="12" t="str">
        <v/>
      </c>
      <c r="S23" s="12" t="str">
        <f t="shared" si="2"/>
        <v/>
      </c>
    </row>
    <row r="24" spans="1:19" ht="14.45" customHeight="1" x14ac:dyDescent="0.25">
      <c r="A24" s="14"/>
      <c r="B24" s="7"/>
      <c r="C24" s="1">
        <f t="shared" si="0"/>
        <v>17</v>
      </c>
      <c r="D24" s="3" t="str">
        <v/>
      </c>
      <c r="E24" s="3"/>
      <c r="F24" s="150" t="str">
        <f t="shared" si="1"/>
        <v/>
      </c>
      <c r="G24" s="150"/>
      <c r="H24" s="150"/>
      <c r="I24" s="150"/>
      <c r="J24" s="150"/>
      <c r="K24" s="8"/>
      <c r="L24" s="20"/>
      <c r="O24" s="12" t="str">
        <v/>
      </c>
      <c r="P24" s="12" t="str">
        <v/>
      </c>
      <c r="Q24" s="12" t="str">
        <v/>
      </c>
      <c r="R24" s="12" t="str">
        <v/>
      </c>
      <c r="S24" s="12" t="str">
        <f t="shared" si="2"/>
        <v/>
      </c>
    </row>
    <row r="25" spans="1:19" ht="14.45" customHeight="1" x14ac:dyDescent="0.25">
      <c r="A25" s="14"/>
      <c r="B25" s="9"/>
      <c r="C25" s="1">
        <f t="shared" si="0"/>
        <v>18</v>
      </c>
      <c r="D25" s="3" t="str">
        <v/>
      </c>
      <c r="E25" s="3"/>
      <c r="F25" s="150" t="str">
        <f t="shared" si="1"/>
        <v/>
      </c>
      <c r="G25" s="150"/>
      <c r="H25" s="150"/>
      <c r="I25" s="150"/>
      <c r="J25" s="150"/>
      <c r="K25" s="8"/>
      <c r="L25" s="20"/>
      <c r="O25" s="12" t="str">
        <v/>
      </c>
      <c r="P25" s="12" t="str">
        <v/>
      </c>
      <c r="Q25" s="12" t="str">
        <v/>
      </c>
      <c r="R25" s="12" t="str">
        <v/>
      </c>
      <c r="S25" s="12" t="str">
        <f t="shared" si="2"/>
        <v/>
      </c>
    </row>
    <row r="26" spans="1:19" ht="14.45" customHeight="1" x14ac:dyDescent="0.25">
      <c r="A26" s="14"/>
      <c r="B26" s="7"/>
      <c r="C26" s="1">
        <f t="shared" si="0"/>
        <v>19</v>
      </c>
      <c r="D26" s="3" t="str">
        <v/>
      </c>
      <c r="E26" s="3"/>
      <c r="F26" s="150" t="str">
        <f t="shared" si="1"/>
        <v/>
      </c>
      <c r="G26" s="150"/>
      <c r="H26" s="150"/>
      <c r="I26" s="150"/>
      <c r="J26" s="150"/>
      <c r="K26" s="8"/>
      <c r="L26" s="20"/>
      <c r="O26" s="12" t="str">
        <v/>
      </c>
      <c r="P26" s="12" t="str">
        <v/>
      </c>
      <c r="Q26" s="12" t="str">
        <v/>
      </c>
      <c r="R26" s="12" t="str">
        <v/>
      </c>
      <c r="S26" s="12" t="str">
        <f t="shared" si="2"/>
        <v/>
      </c>
    </row>
    <row r="27" spans="1:19" ht="14.45" customHeight="1" x14ac:dyDescent="0.25">
      <c r="A27" s="14"/>
      <c r="B27" s="7"/>
      <c r="C27" s="1">
        <f t="shared" si="0"/>
        <v>20</v>
      </c>
      <c r="D27" s="3" t="str">
        <v/>
      </c>
      <c r="E27" s="3"/>
      <c r="F27" s="150" t="str">
        <f t="shared" si="1"/>
        <v/>
      </c>
      <c r="G27" s="150"/>
      <c r="H27" s="150"/>
      <c r="I27" s="150"/>
      <c r="J27" s="150"/>
      <c r="K27" s="8"/>
      <c r="L27" s="20"/>
      <c r="O27" s="12" t="str">
        <v/>
      </c>
      <c r="P27" s="12" t="str">
        <v/>
      </c>
      <c r="Q27" s="12" t="str">
        <v/>
      </c>
      <c r="R27" s="12" t="str">
        <v/>
      </c>
      <c r="S27" s="12" t="str">
        <f t="shared" si="2"/>
        <v/>
      </c>
    </row>
    <row r="28" spans="1:19" ht="14.45" customHeight="1" x14ac:dyDescent="0.25">
      <c r="A28" s="14"/>
      <c r="B28" s="7"/>
      <c r="C28" s="1">
        <f t="shared" si="0"/>
        <v>21</v>
      </c>
      <c r="D28" s="3" t="str">
        <v/>
      </c>
      <c r="E28" s="3"/>
      <c r="F28" s="150" t="str">
        <f t="shared" si="1"/>
        <v/>
      </c>
      <c r="G28" s="150"/>
      <c r="H28" s="150"/>
      <c r="I28" s="150"/>
      <c r="J28" s="150"/>
      <c r="K28" s="8"/>
      <c r="L28" s="20"/>
      <c r="O28" s="12" t="str">
        <v/>
      </c>
      <c r="P28" s="12" t="str">
        <v/>
      </c>
      <c r="Q28" s="12" t="str">
        <v/>
      </c>
      <c r="R28" s="12" t="str">
        <v/>
      </c>
      <c r="S28" s="12" t="str">
        <f t="shared" si="2"/>
        <v/>
      </c>
    </row>
    <row r="29" spans="1:19" ht="14.45" customHeight="1" x14ac:dyDescent="0.25">
      <c r="A29" s="14"/>
      <c r="B29" s="7"/>
      <c r="C29" s="1">
        <f t="shared" si="0"/>
        <v>22</v>
      </c>
      <c r="D29" s="3" t="str">
        <v/>
      </c>
      <c r="E29" s="3"/>
      <c r="F29" s="150" t="str">
        <f t="shared" si="1"/>
        <v/>
      </c>
      <c r="G29" s="150"/>
      <c r="H29" s="150"/>
      <c r="I29" s="150"/>
      <c r="J29" s="150"/>
      <c r="K29" s="8"/>
      <c r="L29" s="20"/>
      <c r="O29" s="12" t="str">
        <v/>
      </c>
      <c r="P29" s="12" t="str">
        <v/>
      </c>
      <c r="Q29" s="12" t="str">
        <v/>
      </c>
      <c r="R29" s="12" t="str">
        <v/>
      </c>
      <c r="S29" s="12" t="str">
        <f t="shared" si="2"/>
        <v/>
      </c>
    </row>
    <row r="30" spans="1:19" ht="14.45" customHeight="1" x14ac:dyDescent="0.25">
      <c r="A30" s="14"/>
      <c r="B30" s="7"/>
      <c r="C30" s="1">
        <f t="shared" si="0"/>
        <v>23</v>
      </c>
      <c r="D30" s="3" t="str">
        <v/>
      </c>
      <c r="E30" s="3"/>
      <c r="F30" s="150" t="str">
        <f t="shared" si="1"/>
        <v/>
      </c>
      <c r="G30" s="150"/>
      <c r="H30" s="150"/>
      <c r="I30" s="150"/>
      <c r="J30" s="150"/>
      <c r="K30" s="8"/>
      <c r="L30" s="20"/>
      <c r="O30" s="12" t="str">
        <v/>
      </c>
      <c r="P30" s="12" t="str">
        <v/>
      </c>
      <c r="Q30" s="12" t="str">
        <v/>
      </c>
      <c r="R30" s="12" t="str">
        <v/>
      </c>
      <c r="S30" s="12" t="str">
        <f t="shared" si="2"/>
        <v/>
      </c>
    </row>
    <row r="31" spans="1:19" ht="14.45" customHeight="1" x14ac:dyDescent="0.25">
      <c r="A31" s="14"/>
      <c r="B31" s="7"/>
      <c r="C31" s="1">
        <f t="shared" si="0"/>
        <v>24</v>
      </c>
      <c r="D31" s="3" t="str">
        <v/>
      </c>
      <c r="E31" s="3"/>
      <c r="F31" s="150" t="str">
        <f t="shared" si="1"/>
        <v/>
      </c>
      <c r="G31" s="150"/>
      <c r="H31" s="150"/>
      <c r="I31" s="150"/>
      <c r="J31" s="150"/>
      <c r="K31" s="8"/>
      <c r="L31" s="20"/>
      <c r="O31" s="12" t="str">
        <v/>
      </c>
      <c r="P31" s="12" t="str">
        <v/>
      </c>
      <c r="Q31" s="12" t="str">
        <v/>
      </c>
      <c r="R31" s="12" t="str">
        <v/>
      </c>
      <c r="S31" s="12" t="str">
        <f t="shared" si="2"/>
        <v/>
      </c>
    </row>
    <row r="32" spans="1:19" ht="14.45" customHeight="1" x14ac:dyDescent="0.25">
      <c r="A32" s="14"/>
      <c r="B32" s="7"/>
      <c r="C32" s="1">
        <f t="shared" si="0"/>
        <v>25</v>
      </c>
      <c r="D32" s="3" t="str">
        <v/>
      </c>
      <c r="E32" s="3"/>
      <c r="F32" s="150" t="str">
        <f t="shared" si="1"/>
        <v/>
      </c>
      <c r="G32" s="150"/>
      <c r="H32" s="150"/>
      <c r="I32" s="150"/>
      <c r="J32" s="150"/>
      <c r="K32" s="8"/>
      <c r="L32" s="20"/>
      <c r="O32" s="12" t="str">
        <v/>
      </c>
      <c r="P32" s="12" t="str">
        <v/>
      </c>
      <c r="Q32" s="12" t="str">
        <v/>
      </c>
      <c r="R32" s="12" t="str">
        <v/>
      </c>
      <c r="S32" s="12" t="str">
        <f t="shared" si="2"/>
        <v/>
      </c>
    </row>
    <row r="33" spans="1:19" ht="14.45" customHeight="1" x14ac:dyDescent="0.25">
      <c r="A33" s="14"/>
      <c r="B33" s="7"/>
      <c r="C33" s="1">
        <f t="shared" si="0"/>
        <v>26</v>
      </c>
      <c r="D33" s="3" t="str">
        <v/>
      </c>
      <c r="E33" s="3"/>
      <c r="F33" s="150" t="str">
        <f t="shared" si="1"/>
        <v/>
      </c>
      <c r="G33" s="150"/>
      <c r="H33" s="150"/>
      <c r="I33" s="150"/>
      <c r="J33" s="150"/>
      <c r="K33" s="8"/>
      <c r="L33" s="20"/>
      <c r="O33" s="12" t="str">
        <v/>
      </c>
      <c r="P33" s="12" t="str">
        <v/>
      </c>
      <c r="Q33" s="12" t="str">
        <v/>
      </c>
      <c r="R33" s="12" t="str">
        <v/>
      </c>
      <c r="S33" s="12" t="str">
        <f t="shared" si="2"/>
        <v/>
      </c>
    </row>
    <row r="34" spans="1:19" ht="14.45" customHeight="1" x14ac:dyDescent="0.25">
      <c r="A34" s="14"/>
      <c r="B34" s="7"/>
      <c r="C34" s="1">
        <f t="shared" si="0"/>
        <v>27</v>
      </c>
      <c r="D34" s="3" t="str">
        <v/>
      </c>
      <c r="E34" s="3"/>
      <c r="F34" s="150" t="str">
        <f t="shared" si="1"/>
        <v/>
      </c>
      <c r="G34" s="150"/>
      <c r="H34" s="150"/>
      <c r="I34" s="150"/>
      <c r="J34" s="150"/>
      <c r="K34" s="8"/>
      <c r="L34" s="20"/>
      <c r="O34" s="12" t="str">
        <v/>
      </c>
      <c r="P34" s="12" t="str">
        <v/>
      </c>
      <c r="Q34" s="12" t="str">
        <v/>
      </c>
      <c r="R34" s="12" t="str">
        <v/>
      </c>
      <c r="S34" s="12" t="str">
        <f t="shared" si="2"/>
        <v/>
      </c>
    </row>
    <row r="35" spans="1:19" ht="14.45" customHeight="1" x14ac:dyDescent="0.25">
      <c r="A35" s="14"/>
      <c r="B35" s="7"/>
      <c r="C35" s="1">
        <f>IF(MONTH(C34+1)&amp;YEAR(C34+1)=MONTH(C$7)&amp;YEAR(C$7),C34+1,"")</f>
        <v>28</v>
      </c>
      <c r="D35" s="3" t="str">
        <v/>
      </c>
      <c r="E35" s="3"/>
      <c r="F35" s="150" t="str">
        <f t="shared" si="1"/>
        <v/>
      </c>
      <c r="G35" s="150"/>
      <c r="H35" s="150"/>
      <c r="I35" s="150"/>
      <c r="J35" s="150"/>
      <c r="K35" s="8"/>
      <c r="L35" s="20"/>
      <c r="O35" s="12" t="str">
        <v/>
      </c>
      <c r="P35" s="12" t="str">
        <v/>
      </c>
      <c r="Q35" s="12" t="str">
        <v/>
      </c>
      <c r="R35" s="12" t="str">
        <v/>
      </c>
      <c r="S35" s="12" t="str">
        <f t="shared" si="2"/>
        <v/>
      </c>
    </row>
    <row r="36" spans="1:19" ht="14.45" customHeight="1" x14ac:dyDescent="0.25">
      <c r="A36" s="14"/>
      <c r="B36" s="7"/>
      <c r="C36" s="1">
        <f>IF(MONTH(C34+2)&amp;YEAR(C34+2)=MONTH(C$7)&amp;YEAR(C$7),C35+1,"")</f>
        <v>29</v>
      </c>
      <c r="D36" s="3" t="str">
        <v/>
      </c>
      <c r="E36" s="3"/>
      <c r="F36" s="150" t="str">
        <f t="shared" si="1"/>
        <v/>
      </c>
      <c r="G36" s="150"/>
      <c r="H36" s="150"/>
      <c r="I36" s="150"/>
      <c r="J36" s="150"/>
      <c r="K36" s="8"/>
      <c r="L36" s="20"/>
      <c r="O36" s="12" t="str">
        <v/>
      </c>
      <c r="P36" s="12" t="str">
        <v/>
      </c>
      <c r="Q36" s="12" t="str">
        <v/>
      </c>
      <c r="R36" s="12" t="str">
        <v/>
      </c>
      <c r="S36" s="12" t="str">
        <f t="shared" si="2"/>
        <v/>
      </c>
    </row>
    <row r="37" spans="1:19" ht="14.45" customHeight="1" x14ac:dyDescent="0.25">
      <c r="A37" s="14"/>
      <c r="B37" s="7"/>
      <c r="C37" s="1">
        <f>IF(MONTH(C34+3)&amp;YEAR(C34+3)=MONTH(C$7)&amp;YEAR(C$7),C36+1,"")</f>
        <v>30</v>
      </c>
      <c r="D37" s="3" t="str">
        <v/>
      </c>
      <c r="E37" s="3"/>
      <c r="F37" s="150" t="str">
        <f t="shared" si="1"/>
        <v/>
      </c>
      <c r="G37" s="150"/>
      <c r="H37" s="150"/>
      <c r="I37" s="150"/>
      <c r="J37" s="150"/>
      <c r="K37" s="8"/>
      <c r="L37" s="20"/>
      <c r="O37" s="12" t="str">
        <v/>
      </c>
      <c r="P37" s="12" t="str">
        <v/>
      </c>
      <c r="Q37" s="12" t="str">
        <v/>
      </c>
      <c r="R37" s="12" t="str">
        <v/>
      </c>
      <c r="S37" s="12" t="str">
        <f t="shared" si="2"/>
        <v/>
      </c>
    </row>
    <row r="38" spans="1:19" ht="8.25" customHeight="1" x14ac:dyDescent="0.25">
      <c r="A38" s="14"/>
      <c r="B38" s="10"/>
      <c r="C38" s="2"/>
      <c r="D38" s="2"/>
      <c r="E38" s="2"/>
      <c r="F38" s="2"/>
      <c r="G38" s="2"/>
      <c r="H38" s="2"/>
      <c r="I38" s="2"/>
      <c r="J38" s="2"/>
      <c r="K38" s="11"/>
      <c r="L38" s="20"/>
    </row>
    <row r="39" spans="1:19" ht="9.75" customHeight="1" x14ac:dyDescent="0.25">
      <c r="A39" s="14"/>
      <c r="B39" s="15"/>
      <c r="C39" s="16"/>
      <c r="D39" s="16"/>
      <c r="E39" s="16"/>
      <c r="F39" s="16"/>
      <c r="G39" s="16"/>
      <c r="H39" s="16"/>
      <c r="I39" s="16"/>
      <c r="J39" s="16"/>
      <c r="K39" s="21"/>
      <c r="L39" s="20"/>
    </row>
    <row r="40" spans="1:19" ht="22.5" customHeight="1" x14ac:dyDescent="0.25">
      <c r="A40" s="8"/>
      <c r="B40" s="7"/>
      <c r="D40" s="158">
        <f>SUM(D7:D37)</f>
        <v>0</v>
      </c>
      <c r="E40" s="159"/>
      <c r="F40" s="160" t="s">
        <v>39</v>
      </c>
      <c r="G40" s="161"/>
      <c r="H40" s="161"/>
      <c r="I40" s="161"/>
      <c r="J40" s="161"/>
      <c r="K40" s="8"/>
      <c r="L40" s="7"/>
    </row>
    <row r="41" spans="1:19" ht="9" customHeight="1" x14ac:dyDescent="0.25">
      <c r="A41" s="14"/>
      <c r="B41" s="18"/>
      <c r="C41" s="13"/>
      <c r="D41" s="13"/>
      <c r="E41" s="13"/>
      <c r="F41" s="13"/>
      <c r="G41" s="13"/>
      <c r="H41" s="13"/>
      <c r="I41" s="13"/>
      <c r="J41" s="13"/>
      <c r="K41" s="22"/>
      <c r="L41" s="20"/>
    </row>
    <row r="42" spans="1:19" ht="9.75" customHeight="1" x14ac:dyDescent="0.25">
      <c r="A42" s="14"/>
      <c r="B42" s="15"/>
      <c r="C42" s="16"/>
      <c r="D42" s="16"/>
      <c r="E42" s="16"/>
      <c r="F42" s="16"/>
      <c r="G42" s="16"/>
      <c r="H42" s="16"/>
      <c r="I42" s="16"/>
      <c r="J42" s="16"/>
      <c r="K42" s="21"/>
      <c r="L42" s="20"/>
    </row>
    <row r="43" spans="1:19" ht="15" x14ac:dyDescent="0.25">
      <c r="A43" s="14"/>
      <c r="B43" s="20"/>
      <c r="C43" s="149" t="s">
        <v>40</v>
      </c>
      <c r="D43" s="149"/>
      <c r="H43" s="151" t="s">
        <v>41</v>
      </c>
      <c r="I43" s="152"/>
      <c r="J43" s="152"/>
      <c r="K43" s="31"/>
      <c r="L43" s="20"/>
    </row>
    <row r="44" spans="1:19" ht="15.75" x14ac:dyDescent="0.25">
      <c r="A44" s="14"/>
      <c r="B44" s="20"/>
      <c r="C44" s="155"/>
      <c r="D44" s="155"/>
      <c r="E44" s="155"/>
      <c r="F44" s="155"/>
      <c r="G44" s="101"/>
      <c r="H44" s="153" t="s">
        <v>42</v>
      </c>
      <c r="I44" s="154"/>
      <c r="J44" s="154"/>
      <c r="K44" s="32"/>
      <c r="L44" s="20"/>
    </row>
    <row r="45" spans="1:19" ht="15.75" x14ac:dyDescent="0.25">
      <c r="A45" s="14"/>
      <c r="B45" s="20"/>
      <c r="C45" s="155"/>
      <c r="D45" s="155"/>
      <c r="E45" s="155"/>
      <c r="F45" s="155"/>
      <c r="G45" s="101"/>
      <c r="H45" s="142" t="s">
        <v>43</v>
      </c>
      <c r="I45" s="143"/>
      <c r="J45" s="143"/>
      <c r="K45" s="33"/>
      <c r="L45" s="20"/>
    </row>
    <row r="46" spans="1:19" ht="55.5" customHeight="1" x14ac:dyDescent="0.25">
      <c r="A46" s="14"/>
      <c r="B46" s="20"/>
      <c r="C46" s="155"/>
      <c r="D46" s="155"/>
      <c r="E46" s="155"/>
      <c r="F46" s="155"/>
      <c r="G46" s="101"/>
      <c r="H46" s="144" t="s">
        <v>44</v>
      </c>
      <c r="I46" s="143"/>
      <c r="J46" s="143"/>
      <c r="K46" s="33"/>
      <c r="L46" s="20"/>
    </row>
    <row r="47" spans="1:19" ht="15" x14ac:dyDescent="0.25">
      <c r="A47" s="14"/>
      <c r="B47" s="18"/>
      <c r="C47" s="13"/>
      <c r="D47" s="13"/>
      <c r="E47" s="13"/>
      <c r="F47" s="13"/>
      <c r="G47" s="13"/>
      <c r="H47" s="29"/>
      <c r="I47" s="29"/>
      <c r="J47" s="29"/>
      <c r="K47" s="22"/>
      <c r="L47" s="20"/>
    </row>
    <row r="48" spans="1:19" ht="15" x14ac:dyDescent="0.25">
      <c r="B48" s="16"/>
      <c r="C48" s="16"/>
      <c r="D48" s="16"/>
      <c r="E48" s="16"/>
      <c r="F48" s="16"/>
      <c r="G48" s="16"/>
      <c r="H48" s="16"/>
      <c r="I48" s="16"/>
      <c r="J48" s="16"/>
      <c r="K48" s="16"/>
    </row>
    <row r="49" ht="12.75" hidden="1" customHeight="1" x14ac:dyDescent="0.25"/>
    <row r="50" ht="12.75" hidden="1" customHeight="1" x14ac:dyDescent="0.25"/>
  </sheetData>
  <mergeCells count="43">
    <mergeCell ref="C44:F46"/>
    <mergeCell ref="D4:F4"/>
    <mergeCell ref="I4:J4"/>
    <mergeCell ref="D40:E40"/>
    <mergeCell ref="F40:J40"/>
    <mergeCell ref="F7:J7"/>
    <mergeCell ref="F8:J8"/>
    <mergeCell ref="F9:J9"/>
    <mergeCell ref="F10:J10"/>
    <mergeCell ref="F11:J11"/>
    <mergeCell ref="F23:J23"/>
    <mergeCell ref="F12:J12"/>
    <mergeCell ref="F13:J13"/>
    <mergeCell ref="F14:J14"/>
    <mergeCell ref="F15:J15"/>
    <mergeCell ref="F16:J16"/>
    <mergeCell ref="F29:J29"/>
    <mergeCell ref="F17:J17"/>
    <mergeCell ref="F18:J18"/>
    <mergeCell ref="F19:J19"/>
    <mergeCell ref="F20:J20"/>
    <mergeCell ref="F21:J21"/>
    <mergeCell ref="F24:J24"/>
    <mergeCell ref="F25:J25"/>
    <mergeCell ref="F26:J26"/>
    <mergeCell ref="F27:J27"/>
    <mergeCell ref="F28:J28"/>
    <mergeCell ref="H45:J45"/>
    <mergeCell ref="H46:J46"/>
    <mergeCell ref="D2:K2"/>
    <mergeCell ref="D3:K3"/>
    <mergeCell ref="C43:D43"/>
    <mergeCell ref="F36:J36"/>
    <mergeCell ref="F37:J37"/>
    <mergeCell ref="H43:J43"/>
    <mergeCell ref="H44:J44"/>
    <mergeCell ref="F30:J30"/>
    <mergeCell ref="F31:J31"/>
    <mergeCell ref="F32:J32"/>
    <mergeCell ref="F33:J33"/>
    <mergeCell ref="F22:J22"/>
    <mergeCell ref="F34:J34"/>
    <mergeCell ref="F35:J35"/>
  </mergeCells>
  <conditionalFormatting sqref="C7">
    <cfRule type="expression" dxfId="2" priority="1">
      <formula>ISBLANK(C7)</formula>
    </cfRule>
  </conditionalFormatting>
  <conditionalFormatting sqref="C7:J37">
    <cfRule type="expression" dxfId="1" priority="2" stopIfTrue="1">
      <formula>OR(WEEKDAY($C7)=7,WEEKDAY($C7)=1)</formula>
    </cfRule>
  </conditionalFormatting>
  <printOptions horizontalCentered="1" verticalCentered="1"/>
  <pageMargins left="0.23622047244094491" right="0.23622047244094491" top="0.23622047244094491" bottom="0.23622047244094491" header="0.31496062992125984" footer="0.31496062992125984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68CF1-8051-41F5-B1AE-36E45401E4F1}">
  <dimension ref="B1:N140"/>
  <sheetViews>
    <sheetView workbookViewId="0">
      <selection activeCell="G124" sqref="G124"/>
    </sheetView>
  </sheetViews>
  <sheetFormatPr defaultColWidth="0" defaultRowHeight="15" zeroHeight="1" x14ac:dyDescent="0.25"/>
  <cols>
    <col min="1" max="1" width="3.140625" style="34" customWidth="1"/>
    <col min="2" max="2" width="11.5703125" style="34" bestFit="1" customWidth="1"/>
    <col min="3" max="3" width="26.85546875" style="34" customWidth="1"/>
    <col min="4" max="4" width="10.85546875" style="34" customWidth="1"/>
    <col min="5" max="5" width="10.7109375" style="34" customWidth="1"/>
    <col min="6" max="6" width="16.28515625" style="34" customWidth="1"/>
    <col min="7" max="7" width="9.28515625" style="34" customWidth="1"/>
    <col min="8" max="8" width="4" style="34" customWidth="1"/>
    <col min="9" max="10" width="9.140625" style="34" hidden="1"/>
    <col min="11" max="11" width="5.42578125" style="34" hidden="1" customWidth="1"/>
    <col min="12" max="12" width="10.28515625" style="34" hidden="1" customWidth="1"/>
    <col min="13" max="13" width="9.140625" style="34" hidden="1"/>
    <col min="14" max="14" width="1.42578125" style="34" hidden="1" customWidth="1"/>
    <col min="15" max="16384" width="0" style="34" hidden="1"/>
  </cols>
  <sheetData>
    <row r="1" spans="2:12" x14ac:dyDescent="0.25"/>
    <row r="2" spans="2:12" ht="26.25" x14ac:dyDescent="0.4">
      <c r="B2" s="171">
        <f>Configuration!D13</f>
        <v>0</v>
      </c>
      <c r="C2" s="172"/>
      <c r="D2" s="172"/>
      <c r="E2" s="172"/>
      <c r="F2" s="172"/>
      <c r="G2" s="173"/>
    </row>
    <row r="3" spans="2:12" x14ac:dyDescent="0.25"/>
    <row r="4" spans="2:12" ht="18.75" x14ac:dyDescent="0.3">
      <c r="B4" s="76" t="s">
        <v>11</v>
      </c>
      <c r="C4" s="77">
        <f>Configuration!D14</f>
        <v>0</v>
      </c>
      <c r="D4" s="78"/>
      <c r="E4" s="78"/>
      <c r="F4" s="78"/>
      <c r="G4" s="79"/>
    </row>
    <row r="5" spans="2:12" ht="18.75" x14ac:dyDescent="0.3">
      <c r="B5" s="80" t="s">
        <v>12</v>
      </c>
      <c r="C5" s="81">
        <f>Configuration!D15</f>
        <v>0</v>
      </c>
      <c r="G5" s="82"/>
    </row>
    <row r="6" spans="2:12" ht="18.75" x14ac:dyDescent="0.3">
      <c r="B6" s="80" t="s">
        <v>13</v>
      </c>
      <c r="C6" s="83" t="str">
        <f>Configuration!D16</f>
        <v>Externe</v>
      </c>
      <c r="G6" s="84"/>
      <c r="L6" s="34" t="b">
        <f>Configuration!D16=Configuration!D34</f>
        <v>0</v>
      </c>
    </row>
    <row r="7" spans="2:12" ht="18.75" x14ac:dyDescent="0.3">
      <c r="B7" s="80" t="s">
        <v>14</v>
      </c>
      <c r="C7" s="83" t="str">
        <f>Configuration!D17</f>
        <v>Wavenet</v>
      </c>
      <c r="G7" s="85"/>
    </row>
    <row r="8" spans="2:12" ht="18.75" x14ac:dyDescent="0.3">
      <c r="B8" s="86" t="s">
        <v>45</v>
      </c>
      <c r="C8" s="87">
        <f>Configuration!D19</f>
        <v>0.33333333333333337</v>
      </c>
      <c r="D8" s="88"/>
      <c r="E8" s="88"/>
      <c r="F8" s="88"/>
      <c r="G8" s="89"/>
    </row>
    <row r="9" spans="2:12" ht="15.75" x14ac:dyDescent="0.25">
      <c r="C9" s="71"/>
      <c r="D9" s="71"/>
    </row>
    <row r="10" spans="2:12" ht="15.75" thickBot="1" x14ac:dyDescent="0.3"/>
    <row r="11" spans="2:12" ht="15.75" thickBot="1" x14ac:dyDescent="0.3">
      <c r="E11" s="72" t="s">
        <v>37</v>
      </c>
      <c r="F11" s="93" t="s">
        <v>46</v>
      </c>
      <c r="G11" s="73" t="s">
        <v>47</v>
      </c>
      <c r="K11" s="34" t="s">
        <v>28</v>
      </c>
      <c r="L11" s="34" t="s">
        <v>48</v>
      </c>
    </row>
    <row r="12" spans="2:12" ht="15.75" thickBot="1" x14ac:dyDescent="0.3">
      <c r="B12" s="90"/>
      <c r="C12" s="132" t="s">
        <v>49</v>
      </c>
      <c r="D12" s="168"/>
      <c r="E12" s="74" t="str">
        <f>IF(L12,SUM(Prestations!D3:AH6),"")</f>
        <v/>
      </c>
      <c r="F12" s="113" t="str">
        <f>IF(L12,E12/C$8,"")</f>
        <v/>
      </c>
      <c r="G12" s="103" t="str">
        <f>IF(AND(L12,L$6),E12/E$126,"")</f>
        <v/>
      </c>
      <c r="K12" s="34">
        <f>SUM(Prestations!D3:AH6)</f>
        <v>0</v>
      </c>
      <c r="L12" s="34" t="b">
        <f>K12&gt;0</f>
        <v>0</v>
      </c>
    </row>
    <row r="13" spans="2:12" x14ac:dyDescent="0.25">
      <c r="B13" s="104" t="str">
        <f>IF(ISBLANK(Prestations!B7),"",Prestations!B7)</f>
        <v/>
      </c>
      <c r="C13" s="164" t="str">
        <f>Prestations!C7</f>
        <v/>
      </c>
      <c r="D13" s="165"/>
      <c r="E13" s="105" t="str">
        <f>IF(L13,SUM(Prestations!D7:AH7),"")</f>
        <v/>
      </c>
      <c r="F13" s="114" t="str">
        <f>IF(L13,E13/C$8,"")</f>
        <v/>
      </c>
      <c r="G13" s="106" t="str">
        <f>IF(L13,E13/E$126,"")</f>
        <v/>
      </c>
      <c r="K13" s="34">
        <f>SUM(Prestations!D7:AH7)</f>
        <v>0</v>
      </c>
      <c r="L13" s="34" t="b">
        <f t="shared" ref="L13" si="0">K13&gt;0</f>
        <v>0</v>
      </c>
    </row>
    <row r="14" spans="2:12" x14ac:dyDescent="0.25">
      <c r="B14" s="107" t="str">
        <f>IF(ISBLANK(Prestations!B8),"",Prestations!B8)</f>
        <v/>
      </c>
      <c r="C14" s="162" t="str">
        <f>Prestations!C8</f>
        <v/>
      </c>
      <c r="D14" s="163"/>
      <c r="E14" s="108" t="str">
        <f>IF(L14,SUM(Prestations!D8:AH8),"")</f>
        <v/>
      </c>
      <c r="F14" s="115" t="str">
        <f t="shared" ref="F14:F77" si="1">IF(L14,E14/C$8,"")</f>
        <v/>
      </c>
      <c r="G14" s="109" t="str">
        <f t="shared" ref="G14:G77" si="2">IF(L14,E14/E$126,"")</f>
        <v/>
      </c>
      <c r="K14" s="34">
        <f>SUM(Prestations!D8:AH8)</f>
        <v>0</v>
      </c>
      <c r="L14" s="34" t="b">
        <f t="shared" ref="L14:L77" si="3">K14&gt;0</f>
        <v>0</v>
      </c>
    </row>
    <row r="15" spans="2:12" x14ac:dyDescent="0.25">
      <c r="B15" s="107" t="str">
        <f>IF(ISBLANK(Prestations!B9),"",Prestations!B9)</f>
        <v/>
      </c>
      <c r="C15" s="162" t="str">
        <f>Prestations!C9</f>
        <v/>
      </c>
      <c r="D15" s="163"/>
      <c r="E15" s="108" t="str">
        <f>IF(L15,SUM(Prestations!D9:AH9),"")</f>
        <v/>
      </c>
      <c r="F15" s="115" t="str">
        <f t="shared" si="1"/>
        <v/>
      </c>
      <c r="G15" s="109" t="str">
        <f t="shared" si="2"/>
        <v/>
      </c>
      <c r="K15" s="34">
        <f>SUM(Prestations!D9:AH9)</f>
        <v>0</v>
      </c>
      <c r="L15" s="34" t="b">
        <f t="shared" si="3"/>
        <v>0</v>
      </c>
    </row>
    <row r="16" spans="2:12" x14ac:dyDescent="0.25">
      <c r="B16" s="107" t="str">
        <f>IF(ISBLANK(Prestations!B10),"",Prestations!B10)</f>
        <v/>
      </c>
      <c r="C16" s="162" t="str">
        <f>Prestations!C10</f>
        <v/>
      </c>
      <c r="D16" s="163"/>
      <c r="E16" s="108" t="str">
        <f>IF(L16,SUM(Prestations!D10:AH10),"")</f>
        <v/>
      </c>
      <c r="F16" s="115" t="str">
        <f t="shared" si="1"/>
        <v/>
      </c>
      <c r="G16" s="109" t="str">
        <f t="shared" si="2"/>
        <v/>
      </c>
      <c r="K16" s="34">
        <f>SUM(Prestations!D10:AH10)</f>
        <v>0</v>
      </c>
      <c r="L16" s="34" t="b">
        <f t="shared" si="3"/>
        <v>0</v>
      </c>
    </row>
    <row r="17" spans="2:12" x14ac:dyDescent="0.25">
      <c r="B17" s="107" t="str">
        <f>IF(ISBLANK(Prestations!B11),"",Prestations!B11)</f>
        <v/>
      </c>
      <c r="C17" s="162" t="str">
        <f>Prestations!C11</f>
        <v/>
      </c>
      <c r="D17" s="163"/>
      <c r="E17" s="108" t="str">
        <f>IF(L17,SUM(Prestations!D11:AH11),"")</f>
        <v/>
      </c>
      <c r="F17" s="115" t="str">
        <f t="shared" si="1"/>
        <v/>
      </c>
      <c r="G17" s="109" t="str">
        <f t="shared" si="2"/>
        <v/>
      </c>
      <c r="K17" s="34">
        <f>SUM(Prestations!D11:AH11)</f>
        <v>0</v>
      </c>
      <c r="L17" s="34" t="b">
        <f t="shared" si="3"/>
        <v>0</v>
      </c>
    </row>
    <row r="18" spans="2:12" x14ac:dyDescent="0.25">
      <c r="B18" s="107" t="str">
        <f>IF(ISBLANK(Prestations!B12),"",Prestations!B12)</f>
        <v/>
      </c>
      <c r="C18" s="162" t="str">
        <f>Prestations!C12</f>
        <v/>
      </c>
      <c r="D18" s="163"/>
      <c r="E18" s="108" t="str">
        <f>IF(L18,SUM(Prestations!D12:AH12),"")</f>
        <v/>
      </c>
      <c r="F18" s="115" t="str">
        <f t="shared" si="1"/>
        <v/>
      </c>
      <c r="G18" s="109" t="str">
        <f t="shared" si="2"/>
        <v/>
      </c>
      <c r="K18" s="34">
        <f>SUM(Prestations!D12:AH12)</f>
        <v>0</v>
      </c>
      <c r="L18" s="34" t="b">
        <f t="shared" si="3"/>
        <v>0</v>
      </c>
    </row>
    <row r="19" spans="2:12" x14ac:dyDescent="0.25">
      <c r="B19" s="107" t="str">
        <f>IF(ISBLANK(Prestations!B13),"",Prestations!B13)</f>
        <v/>
      </c>
      <c r="C19" s="162" t="str">
        <f>Prestations!C13</f>
        <v/>
      </c>
      <c r="D19" s="163"/>
      <c r="E19" s="108" t="str">
        <f>IF(L19,SUM(Prestations!D13:AH13),"")</f>
        <v/>
      </c>
      <c r="F19" s="115" t="str">
        <f t="shared" si="1"/>
        <v/>
      </c>
      <c r="G19" s="109" t="str">
        <f t="shared" si="2"/>
        <v/>
      </c>
      <c r="K19" s="34">
        <f>SUM(Prestations!D13:AH13)</f>
        <v>0</v>
      </c>
      <c r="L19" s="34" t="b">
        <f t="shared" si="3"/>
        <v>0</v>
      </c>
    </row>
    <row r="20" spans="2:12" x14ac:dyDescent="0.25">
      <c r="B20" s="107" t="str">
        <f>IF(ISBLANK(Prestations!B14),"",Prestations!B14)</f>
        <v/>
      </c>
      <c r="C20" s="162" t="str">
        <f>Prestations!C14</f>
        <v/>
      </c>
      <c r="D20" s="163"/>
      <c r="E20" s="108" t="str">
        <f>IF(L20,SUM(Prestations!D14:AH14),"")</f>
        <v/>
      </c>
      <c r="F20" s="115" t="str">
        <f t="shared" si="1"/>
        <v/>
      </c>
      <c r="G20" s="109" t="str">
        <f t="shared" si="2"/>
        <v/>
      </c>
      <c r="K20" s="34">
        <f>SUM(Prestations!D14:AH14)</f>
        <v>0</v>
      </c>
      <c r="L20" s="34" t="b">
        <f t="shared" si="3"/>
        <v>0</v>
      </c>
    </row>
    <row r="21" spans="2:12" x14ac:dyDescent="0.25">
      <c r="B21" s="107" t="str">
        <f>IF(ISBLANK(Prestations!B15),"",Prestations!B15)</f>
        <v/>
      </c>
      <c r="C21" s="162" t="str">
        <f>Prestations!C15</f>
        <v/>
      </c>
      <c r="D21" s="163"/>
      <c r="E21" s="108" t="str">
        <f>IF(L21,SUM(Prestations!D15:AH15),"")</f>
        <v/>
      </c>
      <c r="F21" s="115" t="str">
        <f t="shared" si="1"/>
        <v/>
      </c>
      <c r="G21" s="109" t="str">
        <f t="shared" si="2"/>
        <v/>
      </c>
      <c r="K21" s="34">
        <f>SUM(Prestations!D15:AH15)</f>
        <v>0</v>
      </c>
      <c r="L21" s="34" t="b">
        <f t="shared" si="3"/>
        <v>0</v>
      </c>
    </row>
    <row r="22" spans="2:12" x14ac:dyDescent="0.25">
      <c r="B22" s="107" t="str">
        <f>IF(ISBLANK(Prestations!B16),"",Prestations!B16)</f>
        <v/>
      </c>
      <c r="C22" s="162" t="str">
        <f>Prestations!C16</f>
        <v/>
      </c>
      <c r="D22" s="163"/>
      <c r="E22" s="108" t="str">
        <f>IF(L22,SUM(Prestations!D16:AH16),"")</f>
        <v/>
      </c>
      <c r="F22" s="115" t="str">
        <f t="shared" si="1"/>
        <v/>
      </c>
      <c r="G22" s="109" t="str">
        <f t="shared" si="2"/>
        <v/>
      </c>
      <c r="K22" s="34">
        <f>SUM(Prestations!D16:AH16)</f>
        <v>0</v>
      </c>
      <c r="L22" s="34" t="b">
        <f t="shared" si="3"/>
        <v>0</v>
      </c>
    </row>
    <row r="23" spans="2:12" x14ac:dyDescent="0.25">
      <c r="B23" s="107" t="str">
        <f>IF(ISBLANK(Prestations!B17),"",Prestations!B17)</f>
        <v/>
      </c>
      <c r="C23" s="162" t="str">
        <f>Prestations!C17</f>
        <v/>
      </c>
      <c r="D23" s="163"/>
      <c r="E23" s="108" t="str">
        <f>IF(L23,SUM(Prestations!D17:AH17),"")</f>
        <v/>
      </c>
      <c r="F23" s="115" t="str">
        <f t="shared" si="1"/>
        <v/>
      </c>
      <c r="G23" s="109" t="str">
        <f t="shared" si="2"/>
        <v/>
      </c>
      <c r="K23" s="34">
        <f>SUM(Prestations!D17:AH17)</f>
        <v>0</v>
      </c>
      <c r="L23" s="34" t="b">
        <f t="shared" si="3"/>
        <v>0</v>
      </c>
    </row>
    <row r="24" spans="2:12" x14ac:dyDescent="0.25">
      <c r="B24" s="107" t="str">
        <f>IF(ISBLANK(Prestations!B18),"",Prestations!B18)</f>
        <v/>
      </c>
      <c r="C24" s="162" t="str">
        <f>Prestations!C18</f>
        <v/>
      </c>
      <c r="D24" s="163"/>
      <c r="E24" s="108" t="str">
        <f>IF(L24,SUM(Prestations!D18:AH18),"")</f>
        <v/>
      </c>
      <c r="F24" s="115" t="str">
        <f t="shared" si="1"/>
        <v/>
      </c>
      <c r="G24" s="109" t="str">
        <f t="shared" si="2"/>
        <v/>
      </c>
      <c r="K24" s="34">
        <f>SUM(Prestations!D18:AH18)</f>
        <v>0</v>
      </c>
      <c r="L24" s="34" t="b">
        <f t="shared" si="3"/>
        <v>0</v>
      </c>
    </row>
    <row r="25" spans="2:12" x14ac:dyDescent="0.25">
      <c r="B25" s="107" t="str">
        <f>IF(ISBLANK(Prestations!B19),"",Prestations!B19)</f>
        <v/>
      </c>
      <c r="C25" s="162" t="str">
        <f>Prestations!C19</f>
        <v/>
      </c>
      <c r="D25" s="163"/>
      <c r="E25" s="108" t="str">
        <f>IF(L25,SUM(Prestations!D19:AH19),"")</f>
        <v/>
      </c>
      <c r="F25" s="115" t="str">
        <f t="shared" si="1"/>
        <v/>
      </c>
      <c r="G25" s="109" t="str">
        <f t="shared" si="2"/>
        <v/>
      </c>
      <c r="K25" s="34">
        <f>SUM(Prestations!D19:AH19)</f>
        <v>0</v>
      </c>
      <c r="L25" s="34" t="b">
        <f t="shared" si="3"/>
        <v>0</v>
      </c>
    </row>
    <row r="26" spans="2:12" x14ac:dyDescent="0.25">
      <c r="B26" s="107" t="str">
        <f>IF(ISBLANK(Prestations!B20),"",Prestations!B20)</f>
        <v/>
      </c>
      <c r="C26" s="162" t="str">
        <f>Prestations!C20</f>
        <v/>
      </c>
      <c r="D26" s="163"/>
      <c r="E26" s="108" t="str">
        <f>IF(L26,SUM(Prestations!D20:AH20),"")</f>
        <v/>
      </c>
      <c r="F26" s="115" t="str">
        <f t="shared" si="1"/>
        <v/>
      </c>
      <c r="G26" s="109" t="str">
        <f t="shared" si="2"/>
        <v/>
      </c>
      <c r="K26" s="34">
        <f>SUM(Prestations!D20:AH20)</f>
        <v>0</v>
      </c>
      <c r="L26" s="34" t="b">
        <f t="shared" si="3"/>
        <v>0</v>
      </c>
    </row>
    <row r="27" spans="2:12" x14ac:dyDescent="0.25">
      <c r="B27" s="107" t="str">
        <f>IF(ISBLANK(Prestations!B21),"",Prestations!B21)</f>
        <v/>
      </c>
      <c r="C27" s="162" t="str">
        <f>Prestations!C21</f>
        <v/>
      </c>
      <c r="D27" s="163"/>
      <c r="E27" s="108" t="str">
        <f>IF(L27,SUM(Prestations!D21:AH21),"")</f>
        <v/>
      </c>
      <c r="F27" s="115" t="str">
        <f t="shared" si="1"/>
        <v/>
      </c>
      <c r="G27" s="109" t="str">
        <f t="shared" si="2"/>
        <v/>
      </c>
      <c r="K27" s="34">
        <f>SUM(Prestations!D21:AH21)</f>
        <v>0</v>
      </c>
      <c r="L27" s="34" t="b">
        <f t="shared" si="3"/>
        <v>0</v>
      </c>
    </row>
    <row r="28" spans="2:12" x14ac:dyDescent="0.25">
      <c r="B28" s="107" t="str">
        <f>IF(ISBLANK(Prestations!B22),"",Prestations!B22)</f>
        <v/>
      </c>
      <c r="C28" s="162" t="str">
        <f>Prestations!C22</f>
        <v/>
      </c>
      <c r="D28" s="163"/>
      <c r="E28" s="108" t="str">
        <f>IF(L28,SUM(Prestations!D22:AH22),"")</f>
        <v/>
      </c>
      <c r="F28" s="115" t="str">
        <f t="shared" si="1"/>
        <v/>
      </c>
      <c r="G28" s="109" t="str">
        <f t="shared" si="2"/>
        <v/>
      </c>
      <c r="K28" s="34">
        <f>SUM(Prestations!D22:AH22)</f>
        <v>0</v>
      </c>
      <c r="L28" s="34" t="b">
        <f t="shared" si="3"/>
        <v>0</v>
      </c>
    </row>
    <row r="29" spans="2:12" x14ac:dyDescent="0.25">
      <c r="B29" s="107" t="str">
        <f>IF(ISBLANK(Prestations!B23),"",Prestations!B23)</f>
        <v/>
      </c>
      <c r="C29" s="162" t="str">
        <f>Prestations!C23</f>
        <v/>
      </c>
      <c r="D29" s="163"/>
      <c r="E29" s="108" t="str">
        <f>IF(L29,SUM(Prestations!D23:AH23),"")</f>
        <v/>
      </c>
      <c r="F29" s="115" t="str">
        <f t="shared" si="1"/>
        <v/>
      </c>
      <c r="G29" s="109" t="str">
        <f t="shared" si="2"/>
        <v/>
      </c>
      <c r="K29" s="34">
        <f>SUM(Prestations!D23:AH23)</f>
        <v>0</v>
      </c>
      <c r="L29" s="34" t="b">
        <f t="shared" si="3"/>
        <v>0</v>
      </c>
    </row>
    <row r="30" spans="2:12" x14ac:dyDescent="0.25">
      <c r="B30" s="107" t="str">
        <f>IF(ISBLANK(Prestations!B24),"",Prestations!B24)</f>
        <v/>
      </c>
      <c r="C30" s="162" t="str">
        <f>Prestations!C24</f>
        <v/>
      </c>
      <c r="D30" s="163"/>
      <c r="E30" s="108" t="str">
        <f>IF(L30,SUM(Prestations!D24:AH24),"")</f>
        <v/>
      </c>
      <c r="F30" s="115" t="str">
        <f t="shared" si="1"/>
        <v/>
      </c>
      <c r="G30" s="109" t="str">
        <f t="shared" si="2"/>
        <v/>
      </c>
      <c r="K30" s="34">
        <f>SUM(Prestations!D24:AH24)</f>
        <v>0</v>
      </c>
      <c r="L30" s="34" t="b">
        <f t="shared" si="3"/>
        <v>0</v>
      </c>
    </row>
    <row r="31" spans="2:12" x14ac:dyDescent="0.25">
      <c r="B31" s="107" t="str">
        <f>IF(ISBLANK(Prestations!B25),"",Prestations!B25)</f>
        <v/>
      </c>
      <c r="C31" s="162" t="str">
        <f>Prestations!C25</f>
        <v/>
      </c>
      <c r="D31" s="163"/>
      <c r="E31" s="108" t="str">
        <f>IF(L31,SUM(Prestations!D25:AH25),"")</f>
        <v/>
      </c>
      <c r="F31" s="115" t="str">
        <f t="shared" si="1"/>
        <v/>
      </c>
      <c r="G31" s="109" t="str">
        <f t="shared" si="2"/>
        <v/>
      </c>
      <c r="K31" s="34">
        <f>SUM(Prestations!D25:AH25)</f>
        <v>0</v>
      </c>
      <c r="L31" s="34" t="b">
        <f t="shared" si="3"/>
        <v>0</v>
      </c>
    </row>
    <row r="32" spans="2:12" x14ac:dyDescent="0.25">
      <c r="B32" s="107" t="str">
        <f>IF(ISBLANK(Prestations!B26),"",Prestations!B26)</f>
        <v/>
      </c>
      <c r="C32" s="162" t="str">
        <f>Prestations!C26</f>
        <v/>
      </c>
      <c r="D32" s="163"/>
      <c r="E32" s="108" t="str">
        <f>IF(L32,SUM(Prestations!D26:AH26),"")</f>
        <v/>
      </c>
      <c r="F32" s="115" t="str">
        <f t="shared" si="1"/>
        <v/>
      </c>
      <c r="G32" s="109" t="str">
        <f t="shared" si="2"/>
        <v/>
      </c>
      <c r="K32" s="34">
        <f>SUM(Prestations!D26:AH26)</f>
        <v>0</v>
      </c>
      <c r="L32" s="34" t="b">
        <f t="shared" si="3"/>
        <v>0</v>
      </c>
    </row>
    <row r="33" spans="2:14" x14ac:dyDescent="0.25">
      <c r="B33" s="107" t="str">
        <f>IF(ISBLANK(Prestations!B27),"",Prestations!B27)</f>
        <v/>
      </c>
      <c r="C33" s="162" t="str">
        <f>Prestations!C27</f>
        <v/>
      </c>
      <c r="D33" s="163"/>
      <c r="E33" s="108" t="str">
        <f>IF(L33,SUM(Prestations!D27:AH27),"")</f>
        <v/>
      </c>
      <c r="F33" s="115" t="str">
        <f t="shared" si="1"/>
        <v/>
      </c>
      <c r="G33" s="109" t="str">
        <f t="shared" si="2"/>
        <v/>
      </c>
      <c r="K33" s="34">
        <f>SUM(Prestations!D27:AH27)</f>
        <v>0</v>
      </c>
      <c r="L33" s="34" t="b">
        <f t="shared" si="3"/>
        <v>0</v>
      </c>
    </row>
    <row r="34" spans="2:14" x14ac:dyDescent="0.25">
      <c r="B34" s="107" t="str">
        <f>IF(ISBLANK(Prestations!B28),"",Prestations!B28)</f>
        <v/>
      </c>
      <c r="C34" s="162" t="str">
        <f>Prestations!C28</f>
        <v/>
      </c>
      <c r="D34" s="163"/>
      <c r="E34" s="108" t="str">
        <f>IF(L34,SUM(Prestations!D28:AH28),"")</f>
        <v/>
      </c>
      <c r="F34" s="115" t="str">
        <f t="shared" si="1"/>
        <v/>
      </c>
      <c r="G34" s="109" t="str">
        <f t="shared" si="2"/>
        <v/>
      </c>
      <c r="K34" s="34">
        <f>SUM(Prestations!D28:AH28)</f>
        <v>0</v>
      </c>
      <c r="L34" s="34" t="b">
        <f t="shared" si="3"/>
        <v>0</v>
      </c>
    </row>
    <row r="35" spans="2:14" x14ac:dyDescent="0.25">
      <c r="B35" s="107" t="str">
        <f>IF(ISBLANK(Prestations!B29),"",Prestations!B29)</f>
        <v/>
      </c>
      <c r="C35" s="162" t="str">
        <f>Prestations!C29</f>
        <v/>
      </c>
      <c r="D35" s="163"/>
      <c r="E35" s="108" t="str">
        <f>IF(L35,SUM(Prestations!D29:AH29),"")</f>
        <v/>
      </c>
      <c r="F35" s="115" t="str">
        <f t="shared" si="1"/>
        <v/>
      </c>
      <c r="G35" s="109" t="str">
        <f t="shared" si="2"/>
        <v/>
      </c>
      <c r="K35" s="34">
        <f>SUM(Prestations!D29:AH29)</f>
        <v>0</v>
      </c>
      <c r="L35" s="34" t="b">
        <f t="shared" si="3"/>
        <v>0</v>
      </c>
    </row>
    <row r="36" spans="2:14" x14ac:dyDescent="0.25">
      <c r="B36" s="107" t="str">
        <f>IF(ISBLANK(Prestations!B30),"",Prestations!B30)</f>
        <v/>
      </c>
      <c r="C36" s="162" t="str">
        <f>Prestations!C30</f>
        <v/>
      </c>
      <c r="D36" s="163"/>
      <c r="E36" s="108" t="str">
        <f>IF(L36,SUM(Prestations!D30:AH30),"")</f>
        <v/>
      </c>
      <c r="F36" s="115" t="str">
        <f t="shared" si="1"/>
        <v/>
      </c>
      <c r="G36" s="109" t="str">
        <f t="shared" si="2"/>
        <v/>
      </c>
      <c r="K36" s="34">
        <f>SUM(Prestations!D30:AH30)</f>
        <v>0</v>
      </c>
      <c r="L36" s="34" t="b">
        <f t="shared" si="3"/>
        <v>0</v>
      </c>
    </row>
    <row r="37" spans="2:14" x14ac:dyDescent="0.25">
      <c r="B37" s="107" t="str">
        <f>IF(ISBLANK(Prestations!B31),"",Prestations!B31)</f>
        <v/>
      </c>
      <c r="C37" s="162" t="str">
        <f>Prestations!C31</f>
        <v/>
      </c>
      <c r="D37" s="163"/>
      <c r="E37" s="108" t="str">
        <f>IF(L37,SUM(Prestations!D31:AH31),"")</f>
        <v/>
      </c>
      <c r="F37" s="115" t="str">
        <f t="shared" si="1"/>
        <v/>
      </c>
      <c r="G37" s="109" t="str">
        <f t="shared" si="2"/>
        <v/>
      </c>
      <c r="K37" s="34">
        <f>SUM(Prestations!D31:AH31)</f>
        <v>0</v>
      </c>
      <c r="L37" s="34" t="b">
        <f t="shared" si="3"/>
        <v>0</v>
      </c>
    </row>
    <row r="38" spans="2:14" x14ac:dyDescent="0.25">
      <c r="B38" s="107" t="str">
        <f>IF(ISBLANK(Prestations!B32),"",Prestations!B32)</f>
        <v/>
      </c>
      <c r="C38" s="162" t="str">
        <f>Prestations!C32</f>
        <v/>
      </c>
      <c r="D38" s="163"/>
      <c r="E38" s="108" t="str">
        <f>IF(L38,SUM(Prestations!D32:AH32),"")</f>
        <v/>
      </c>
      <c r="F38" s="115" t="str">
        <f t="shared" si="1"/>
        <v/>
      </c>
      <c r="G38" s="109" t="str">
        <f t="shared" si="2"/>
        <v/>
      </c>
      <c r="K38" s="34">
        <f>SUM(Prestations!D32:AH32)</f>
        <v>0</v>
      </c>
      <c r="L38" s="34" t="b">
        <f t="shared" si="3"/>
        <v>0</v>
      </c>
    </row>
    <row r="39" spans="2:14" x14ac:dyDescent="0.25">
      <c r="B39" s="107" t="str">
        <f>IF(ISBLANK(Prestations!B33),"",Prestations!B33)</f>
        <v/>
      </c>
      <c r="C39" s="162" t="str">
        <f>Prestations!C33</f>
        <v/>
      </c>
      <c r="D39" s="163"/>
      <c r="E39" s="108" t="str">
        <f>IF(L39,SUM(Prestations!D33:AH33),"")</f>
        <v/>
      </c>
      <c r="F39" s="115" t="str">
        <f t="shared" si="1"/>
        <v/>
      </c>
      <c r="G39" s="109" t="str">
        <f t="shared" si="2"/>
        <v/>
      </c>
      <c r="K39" s="34">
        <f>SUM(Prestations!D33:AH33)</f>
        <v>0</v>
      </c>
      <c r="L39" s="34" t="b">
        <f t="shared" si="3"/>
        <v>0</v>
      </c>
      <c r="N39" s="34" t="s">
        <v>50</v>
      </c>
    </row>
    <row r="40" spans="2:14" x14ac:dyDescent="0.25">
      <c r="B40" s="107" t="str">
        <f>IF(ISBLANK(Prestations!B34),"",Prestations!B34)</f>
        <v/>
      </c>
      <c r="C40" s="162" t="str">
        <f>Prestations!C34</f>
        <v/>
      </c>
      <c r="D40" s="163"/>
      <c r="E40" s="108" t="str">
        <f>IF(L40,SUM(Prestations!D34:AH34),"")</f>
        <v/>
      </c>
      <c r="F40" s="115" t="str">
        <f t="shared" si="1"/>
        <v/>
      </c>
      <c r="G40" s="109" t="str">
        <f t="shared" si="2"/>
        <v/>
      </c>
      <c r="K40" s="34">
        <f>SUM(Prestations!D34:AH34)</f>
        <v>0</v>
      </c>
      <c r="L40" s="34" t="b">
        <f t="shared" si="3"/>
        <v>0</v>
      </c>
    </row>
    <row r="41" spans="2:14" x14ac:dyDescent="0.25">
      <c r="B41" s="107" t="str">
        <f>IF(ISBLANK(Prestations!B35),"",Prestations!B35)</f>
        <v/>
      </c>
      <c r="C41" s="162" t="str">
        <f>Prestations!C35</f>
        <v/>
      </c>
      <c r="D41" s="163"/>
      <c r="E41" s="108" t="str">
        <f>IF(L41,SUM(Prestations!D35:AH35),"")</f>
        <v/>
      </c>
      <c r="F41" s="115" t="str">
        <f t="shared" si="1"/>
        <v/>
      </c>
      <c r="G41" s="109" t="str">
        <f t="shared" si="2"/>
        <v/>
      </c>
      <c r="K41" s="34">
        <f>SUM(Prestations!D35:AH35)</f>
        <v>0</v>
      </c>
      <c r="L41" s="34" t="b">
        <f t="shared" si="3"/>
        <v>0</v>
      </c>
    </row>
    <row r="42" spans="2:14" x14ac:dyDescent="0.25">
      <c r="B42" s="107" t="str">
        <f>IF(ISBLANK(Prestations!B36),"",Prestations!B36)</f>
        <v/>
      </c>
      <c r="C42" s="162" t="str">
        <f>Prestations!C36</f>
        <v/>
      </c>
      <c r="D42" s="163"/>
      <c r="E42" s="108" t="str">
        <f>IF(L42,SUM(Prestations!D36:AH36),"")</f>
        <v/>
      </c>
      <c r="F42" s="115" t="str">
        <f t="shared" si="1"/>
        <v/>
      </c>
      <c r="G42" s="109" t="str">
        <f t="shared" si="2"/>
        <v/>
      </c>
      <c r="K42" s="34">
        <f>SUM(Prestations!D36:AH36)</f>
        <v>0</v>
      </c>
      <c r="L42" s="34" t="b">
        <f t="shared" si="3"/>
        <v>0</v>
      </c>
    </row>
    <row r="43" spans="2:14" x14ac:dyDescent="0.25">
      <c r="B43" s="107" t="str">
        <f>IF(ISBLANK(Prestations!B37),"",Prestations!B37)</f>
        <v/>
      </c>
      <c r="C43" s="162" t="str">
        <f>Prestations!C37</f>
        <v/>
      </c>
      <c r="D43" s="163"/>
      <c r="E43" s="108" t="str">
        <f>IF(L43,SUM(Prestations!D37:AH37),"")</f>
        <v/>
      </c>
      <c r="F43" s="115" t="str">
        <f t="shared" si="1"/>
        <v/>
      </c>
      <c r="G43" s="109" t="str">
        <f t="shared" si="2"/>
        <v/>
      </c>
      <c r="K43" s="34">
        <f>SUM(Prestations!D37:AH37)</f>
        <v>0</v>
      </c>
      <c r="L43" s="34" t="b">
        <f t="shared" si="3"/>
        <v>0</v>
      </c>
    </row>
    <row r="44" spans="2:14" x14ac:dyDescent="0.25">
      <c r="B44" s="107" t="str">
        <f>IF(ISBLANK(Prestations!B38),"",Prestations!B38)</f>
        <v/>
      </c>
      <c r="C44" s="162" t="str">
        <f>Prestations!C38</f>
        <v/>
      </c>
      <c r="D44" s="163"/>
      <c r="E44" s="108" t="str">
        <f>IF(L44,SUM(Prestations!D38:AH38),"")</f>
        <v/>
      </c>
      <c r="F44" s="115" t="str">
        <f t="shared" si="1"/>
        <v/>
      </c>
      <c r="G44" s="109" t="str">
        <f t="shared" si="2"/>
        <v/>
      </c>
      <c r="K44" s="34">
        <f>SUM(Prestations!D38:AH38)</f>
        <v>0</v>
      </c>
      <c r="L44" s="34" t="b">
        <f t="shared" si="3"/>
        <v>0</v>
      </c>
    </row>
    <row r="45" spans="2:14" x14ac:dyDescent="0.25">
      <c r="B45" s="107" t="str">
        <f>IF(ISBLANK(Prestations!B39),"",Prestations!B39)</f>
        <v/>
      </c>
      <c r="C45" s="162" t="str">
        <f>Prestations!C39</f>
        <v/>
      </c>
      <c r="D45" s="163"/>
      <c r="E45" s="108" t="str">
        <f>IF(L45,SUM(Prestations!D39:AH39),"")</f>
        <v/>
      </c>
      <c r="F45" s="115" t="str">
        <f t="shared" si="1"/>
        <v/>
      </c>
      <c r="G45" s="109" t="str">
        <f t="shared" si="2"/>
        <v/>
      </c>
      <c r="K45" s="34">
        <f>SUM(Prestations!D39:AH39)</f>
        <v>0</v>
      </c>
      <c r="L45" s="34" t="b">
        <f t="shared" si="3"/>
        <v>0</v>
      </c>
    </row>
    <row r="46" spans="2:14" x14ac:dyDescent="0.25">
      <c r="B46" s="107" t="str">
        <f>IF(ISBLANK(Prestations!B40),"",Prestations!B40)</f>
        <v/>
      </c>
      <c r="C46" s="162" t="str">
        <f>Prestations!C40</f>
        <v/>
      </c>
      <c r="D46" s="163"/>
      <c r="E46" s="108" t="str">
        <f>IF(L46,SUM(Prestations!D40:AH40),"")</f>
        <v/>
      </c>
      <c r="F46" s="115" t="str">
        <f t="shared" si="1"/>
        <v/>
      </c>
      <c r="G46" s="109" t="str">
        <f t="shared" si="2"/>
        <v/>
      </c>
      <c r="K46" s="34">
        <f>SUM(Prestations!D40:AH40)</f>
        <v>0</v>
      </c>
      <c r="L46" s="34" t="b">
        <f t="shared" si="3"/>
        <v>0</v>
      </c>
    </row>
    <row r="47" spans="2:14" x14ac:dyDescent="0.25">
      <c r="B47" s="107" t="str">
        <f>IF(ISBLANK(Prestations!B41),"",Prestations!B41)</f>
        <v/>
      </c>
      <c r="C47" s="162" t="str">
        <f>Prestations!C41</f>
        <v/>
      </c>
      <c r="D47" s="163"/>
      <c r="E47" s="108" t="str">
        <f>IF(L47,SUM(Prestations!D41:AH41),"")</f>
        <v/>
      </c>
      <c r="F47" s="115" t="str">
        <f t="shared" si="1"/>
        <v/>
      </c>
      <c r="G47" s="109" t="str">
        <f t="shared" si="2"/>
        <v/>
      </c>
      <c r="K47" s="34">
        <f>SUM(Prestations!D41:AH41)</f>
        <v>0</v>
      </c>
      <c r="L47" s="34" t="b">
        <f t="shared" si="3"/>
        <v>0</v>
      </c>
    </row>
    <row r="48" spans="2:14" x14ac:dyDescent="0.25">
      <c r="B48" s="107" t="str">
        <f>IF(ISBLANK(Prestations!B42),"",Prestations!B42)</f>
        <v/>
      </c>
      <c r="C48" s="162" t="str">
        <f>Prestations!C42</f>
        <v/>
      </c>
      <c r="D48" s="163"/>
      <c r="E48" s="108" t="str">
        <f>IF(L48,SUM(Prestations!D42:AH42),"")</f>
        <v/>
      </c>
      <c r="F48" s="115" t="str">
        <f t="shared" si="1"/>
        <v/>
      </c>
      <c r="G48" s="109" t="str">
        <f t="shared" si="2"/>
        <v/>
      </c>
      <c r="K48" s="34">
        <f>SUM(Prestations!D42:AH42)</f>
        <v>0</v>
      </c>
      <c r="L48" s="34" t="b">
        <f t="shared" si="3"/>
        <v>0</v>
      </c>
    </row>
    <row r="49" spans="2:12" x14ac:dyDescent="0.25">
      <c r="B49" s="107" t="str">
        <f>IF(ISBLANK(Prestations!B43),"",Prestations!B43)</f>
        <v/>
      </c>
      <c r="C49" s="162" t="str">
        <f>Prestations!C43</f>
        <v/>
      </c>
      <c r="D49" s="163"/>
      <c r="E49" s="108" t="str">
        <f>IF(L49,SUM(Prestations!D43:AH43),"")</f>
        <v/>
      </c>
      <c r="F49" s="115" t="str">
        <f t="shared" si="1"/>
        <v/>
      </c>
      <c r="G49" s="109" t="str">
        <f t="shared" si="2"/>
        <v/>
      </c>
      <c r="K49" s="34">
        <f>SUM(Prestations!D43:AH43)</f>
        <v>0</v>
      </c>
      <c r="L49" s="34" t="b">
        <f t="shared" si="3"/>
        <v>0</v>
      </c>
    </row>
    <row r="50" spans="2:12" x14ac:dyDescent="0.25">
      <c r="B50" s="107" t="str">
        <f>IF(ISBLANK(Prestations!B44),"",Prestations!B44)</f>
        <v/>
      </c>
      <c r="C50" s="162" t="str">
        <f>Prestations!C44</f>
        <v/>
      </c>
      <c r="D50" s="163"/>
      <c r="E50" s="108" t="str">
        <f>IF(L50,SUM(Prestations!D44:AH44),"")</f>
        <v/>
      </c>
      <c r="F50" s="115" t="str">
        <f t="shared" si="1"/>
        <v/>
      </c>
      <c r="G50" s="109" t="str">
        <f t="shared" si="2"/>
        <v/>
      </c>
      <c r="K50" s="34">
        <f>SUM(Prestations!D44:AH44)</f>
        <v>0</v>
      </c>
      <c r="L50" s="34" t="b">
        <f t="shared" si="3"/>
        <v>0</v>
      </c>
    </row>
    <row r="51" spans="2:12" x14ac:dyDescent="0.25">
      <c r="B51" s="107" t="str">
        <f>IF(ISBLANK(Prestations!B45),"",Prestations!B45)</f>
        <v/>
      </c>
      <c r="C51" s="162" t="str">
        <f>Prestations!C45</f>
        <v/>
      </c>
      <c r="D51" s="163"/>
      <c r="E51" s="108" t="str">
        <f>IF(L51,SUM(Prestations!D45:AH45),"")</f>
        <v/>
      </c>
      <c r="F51" s="115" t="str">
        <f t="shared" si="1"/>
        <v/>
      </c>
      <c r="G51" s="109" t="str">
        <f t="shared" si="2"/>
        <v/>
      </c>
      <c r="K51" s="34">
        <f>SUM(Prestations!D45:AH45)</f>
        <v>0</v>
      </c>
      <c r="L51" s="34" t="b">
        <f t="shared" si="3"/>
        <v>0</v>
      </c>
    </row>
    <row r="52" spans="2:12" x14ac:dyDescent="0.25">
      <c r="B52" s="107" t="str">
        <f>IF(ISBLANK(Prestations!B46),"",Prestations!B46)</f>
        <v/>
      </c>
      <c r="C52" s="162" t="str">
        <f>Prestations!C46</f>
        <v/>
      </c>
      <c r="D52" s="163"/>
      <c r="E52" s="108" t="str">
        <f>IF(L52,SUM(Prestations!D46:AH46),"")</f>
        <v/>
      </c>
      <c r="F52" s="115" t="str">
        <f t="shared" si="1"/>
        <v/>
      </c>
      <c r="G52" s="109" t="str">
        <f t="shared" si="2"/>
        <v/>
      </c>
      <c r="K52" s="34">
        <f>SUM(Prestations!D46:AH46)</f>
        <v>0</v>
      </c>
      <c r="L52" s="34" t="b">
        <f t="shared" si="3"/>
        <v>0</v>
      </c>
    </row>
    <row r="53" spans="2:12" x14ac:dyDescent="0.25">
      <c r="B53" s="107" t="str">
        <f>IF(ISBLANK(Prestations!B47),"",Prestations!B47)</f>
        <v/>
      </c>
      <c r="C53" s="162" t="str">
        <f>Prestations!C47</f>
        <v/>
      </c>
      <c r="D53" s="163"/>
      <c r="E53" s="108" t="str">
        <f>IF(L53,SUM(Prestations!D47:AH47),"")</f>
        <v/>
      </c>
      <c r="F53" s="115" t="str">
        <f t="shared" si="1"/>
        <v/>
      </c>
      <c r="G53" s="109" t="str">
        <f t="shared" si="2"/>
        <v/>
      </c>
      <c r="K53" s="34">
        <f>SUM(Prestations!D47:AH47)</f>
        <v>0</v>
      </c>
      <c r="L53" s="34" t="b">
        <f t="shared" si="3"/>
        <v>0</v>
      </c>
    </row>
    <row r="54" spans="2:12" x14ac:dyDescent="0.25">
      <c r="B54" s="107" t="str">
        <f>IF(ISBLANK(Prestations!B48),"",Prestations!B48)</f>
        <v/>
      </c>
      <c r="C54" s="162" t="str">
        <f>Prestations!C48</f>
        <v/>
      </c>
      <c r="D54" s="163"/>
      <c r="E54" s="108" t="str">
        <f>IF(L54,SUM(Prestations!D48:AH48),"")</f>
        <v/>
      </c>
      <c r="F54" s="115" t="str">
        <f t="shared" si="1"/>
        <v/>
      </c>
      <c r="G54" s="109" t="str">
        <f t="shared" si="2"/>
        <v/>
      </c>
      <c r="K54" s="34">
        <f>SUM(Prestations!D48:AH48)</f>
        <v>0</v>
      </c>
      <c r="L54" s="34" t="b">
        <f t="shared" si="3"/>
        <v>0</v>
      </c>
    </row>
    <row r="55" spans="2:12" x14ac:dyDescent="0.25">
      <c r="B55" s="107" t="str">
        <f>IF(ISBLANK(Prestations!B49),"",Prestations!B49)</f>
        <v/>
      </c>
      <c r="C55" s="162" t="str">
        <f>Prestations!C49</f>
        <v/>
      </c>
      <c r="D55" s="163"/>
      <c r="E55" s="108" t="str">
        <f>IF(L55,SUM(Prestations!D49:AH49),"")</f>
        <v/>
      </c>
      <c r="F55" s="115" t="str">
        <f t="shared" si="1"/>
        <v/>
      </c>
      <c r="G55" s="109" t="str">
        <f t="shared" si="2"/>
        <v/>
      </c>
      <c r="K55" s="34">
        <f>SUM(Prestations!D49:AH49)</f>
        <v>0</v>
      </c>
      <c r="L55" s="34" t="b">
        <f t="shared" si="3"/>
        <v>0</v>
      </c>
    </row>
    <row r="56" spans="2:12" x14ac:dyDescent="0.25">
      <c r="B56" s="107" t="str">
        <f>IF(ISBLANK(Prestations!B50),"",Prestations!B50)</f>
        <v/>
      </c>
      <c r="C56" s="162" t="str">
        <f>Prestations!C50</f>
        <v/>
      </c>
      <c r="D56" s="163"/>
      <c r="E56" s="108" t="str">
        <f>IF(L56,SUM(Prestations!D50:AH50),"")</f>
        <v/>
      </c>
      <c r="F56" s="115" t="str">
        <f t="shared" si="1"/>
        <v/>
      </c>
      <c r="G56" s="109" t="str">
        <f t="shared" si="2"/>
        <v/>
      </c>
      <c r="K56" s="34">
        <f>SUM(Prestations!D50:AH50)</f>
        <v>0</v>
      </c>
      <c r="L56" s="34" t="b">
        <f t="shared" si="3"/>
        <v>0</v>
      </c>
    </row>
    <row r="57" spans="2:12" x14ac:dyDescent="0.25">
      <c r="B57" s="107" t="str">
        <f>IF(ISBLANK(Prestations!B51),"",Prestations!B51)</f>
        <v/>
      </c>
      <c r="C57" s="162" t="str">
        <f>Prestations!C51</f>
        <v/>
      </c>
      <c r="D57" s="163"/>
      <c r="E57" s="108" t="str">
        <f>IF(L57,SUM(Prestations!D51:AH51),"")</f>
        <v/>
      </c>
      <c r="F57" s="115" t="str">
        <f t="shared" si="1"/>
        <v/>
      </c>
      <c r="G57" s="109" t="str">
        <f t="shared" si="2"/>
        <v/>
      </c>
      <c r="K57" s="34">
        <f>SUM(Prestations!D51:AH51)</f>
        <v>0</v>
      </c>
      <c r="L57" s="34" t="b">
        <f t="shared" si="3"/>
        <v>0</v>
      </c>
    </row>
    <row r="58" spans="2:12" x14ac:dyDescent="0.25">
      <c r="B58" s="107" t="str">
        <f>IF(ISBLANK(Prestations!B52),"",Prestations!B52)</f>
        <v/>
      </c>
      <c r="C58" s="162" t="str">
        <f>Prestations!C52</f>
        <v/>
      </c>
      <c r="D58" s="163"/>
      <c r="E58" s="108" t="str">
        <f>IF(L58,SUM(Prestations!D52:AH52),"")</f>
        <v/>
      </c>
      <c r="F58" s="115" t="str">
        <f t="shared" si="1"/>
        <v/>
      </c>
      <c r="G58" s="109" t="str">
        <f t="shared" si="2"/>
        <v/>
      </c>
      <c r="K58" s="34">
        <f>SUM(Prestations!D52:AH52)</f>
        <v>0</v>
      </c>
      <c r="L58" s="34" t="b">
        <f t="shared" si="3"/>
        <v>0</v>
      </c>
    </row>
    <row r="59" spans="2:12" x14ac:dyDescent="0.25">
      <c r="B59" s="107" t="str">
        <f>IF(ISBLANK(Prestations!B53),"",Prestations!B53)</f>
        <v/>
      </c>
      <c r="C59" s="162" t="str">
        <f>Prestations!C53</f>
        <v/>
      </c>
      <c r="D59" s="163"/>
      <c r="E59" s="108" t="str">
        <f>IF(L59,SUM(Prestations!D53:AH53),"")</f>
        <v/>
      </c>
      <c r="F59" s="115" t="str">
        <f t="shared" si="1"/>
        <v/>
      </c>
      <c r="G59" s="109" t="str">
        <f t="shared" si="2"/>
        <v/>
      </c>
      <c r="K59" s="34">
        <f>SUM(Prestations!D53:AH53)</f>
        <v>0</v>
      </c>
      <c r="L59" s="34" t="b">
        <f t="shared" si="3"/>
        <v>0</v>
      </c>
    </row>
    <row r="60" spans="2:12" x14ac:dyDescent="0.25">
      <c r="B60" s="107" t="str">
        <f>IF(ISBLANK(Prestations!B54),"",Prestations!B54)</f>
        <v/>
      </c>
      <c r="C60" s="162" t="str">
        <f>Prestations!C54</f>
        <v/>
      </c>
      <c r="D60" s="163"/>
      <c r="E60" s="108" t="str">
        <f>IF(L60,SUM(Prestations!D54:AH54),"")</f>
        <v/>
      </c>
      <c r="F60" s="115" t="str">
        <f t="shared" si="1"/>
        <v/>
      </c>
      <c r="G60" s="109" t="str">
        <f t="shared" si="2"/>
        <v/>
      </c>
      <c r="K60" s="34">
        <f>SUM(Prestations!D54:AH54)</f>
        <v>0</v>
      </c>
      <c r="L60" s="34" t="b">
        <f t="shared" si="3"/>
        <v>0</v>
      </c>
    </row>
    <row r="61" spans="2:12" x14ac:dyDescent="0.25">
      <c r="B61" s="107" t="str">
        <f>IF(ISBLANK(Prestations!B55),"",Prestations!B55)</f>
        <v/>
      </c>
      <c r="C61" s="162" t="str">
        <f>Prestations!C55</f>
        <v/>
      </c>
      <c r="D61" s="163"/>
      <c r="E61" s="108" t="str">
        <f>IF(L61,SUM(Prestations!D55:AH55),"")</f>
        <v/>
      </c>
      <c r="F61" s="115" t="str">
        <f t="shared" si="1"/>
        <v/>
      </c>
      <c r="G61" s="109" t="str">
        <f t="shared" si="2"/>
        <v/>
      </c>
      <c r="K61" s="34">
        <f>SUM(Prestations!D55:AH55)</f>
        <v>0</v>
      </c>
      <c r="L61" s="34" t="b">
        <f t="shared" si="3"/>
        <v>0</v>
      </c>
    </row>
    <row r="62" spans="2:12" x14ac:dyDescent="0.25">
      <c r="B62" s="107" t="str">
        <f>IF(ISBLANK(Prestations!B56),"",Prestations!B56)</f>
        <v/>
      </c>
      <c r="C62" s="162" t="str">
        <f>Prestations!C56</f>
        <v/>
      </c>
      <c r="D62" s="163"/>
      <c r="E62" s="108" t="str">
        <f>IF(L62,SUM(Prestations!D56:AH56),"")</f>
        <v/>
      </c>
      <c r="F62" s="115" t="str">
        <f t="shared" si="1"/>
        <v/>
      </c>
      <c r="G62" s="109" t="str">
        <f t="shared" si="2"/>
        <v/>
      </c>
      <c r="K62" s="34">
        <f>SUM(Prestations!D56:AH56)</f>
        <v>0</v>
      </c>
      <c r="L62" s="34" t="b">
        <f t="shared" si="3"/>
        <v>0</v>
      </c>
    </row>
    <row r="63" spans="2:12" x14ac:dyDescent="0.25">
      <c r="B63" s="107" t="str">
        <f>IF(ISBLANK(Prestations!B57),"",Prestations!B57)</f>
        <v/>
      </c>
      <c r="C63" s="162" t="str">
        <f>Prestations!C57</f>
        <v/>
      </c>
      <c r="D63" s="163"/>
      <c r="E63" s="108" t="str">
        <f>IF(L63,SUM(Prestations!D57:AH57),"")</f>
        <v/>
      </c>
      <c r="F63" s="115" t="str">
        <f t="shared" si="1"/>
        <v/>
      </c>
      <c r="G63" s="109" t="str">
        <f t="shared" si="2"/>
        <v/>
      </c>
      <c r="K63" s="34">
        <f>SUM(Prestations!D57:AH57)</f>
        <v>0</v>
      </c>
      <c r="L63" s="34" t="b">
        <f t="shared" si="3"/>
        <v>0</v>
      </c>
    </row>
    <row r="64" spans="2:12" x14ac:dyDescent="0.25">
      <c r="B64" s="107" t="str">
        <f>IF(ISBLANK(Prestations!B58),"",Prestations!B58)</f>
        <v/>
      </c>
      <c r="C64" s="162" t="str">
        <f>Prestations!C58</f>
        <v/>
      </c>
      <c r="D64" s="163"/>
      <c r="E64" s="108" t="str">
        <f>IF(L64,SUM(Prestations!D58:AH58),"")</f>
        <v/>
      </c>
      <c r="F64" s="115" t="str">
        <f t="shared" si="1"/>
        <v/>
      </c>
      <c r="G64" s="109" t="str">
        <f t="shared" si="2"/>
        <v/>
      </c>
      <c r="K64" s="34">
        <f>SUM(Prestations!D58:AH58)</f>
        <v>0</v>
      </c>
      <c r="L64" s="34" t="b">
        <f t="shared" si="3"/>
        <v>0</v>
      </c>
    </row>
    <row r="65" spans="2:14" x14ac:dyDescent="0.25">
      <c r="B65" s="107" t="str">
        <f>IF(ISBLANK(Prestations!B59),"",Prestations!B59)</f>
        <v/>
      </c>
      <c r="C65" s="162" t="str">
        <f>Prestations!C59</f>
        <v/>
      </c>
      <c r="D65" s="163"/>
      <c r="E65" s="108" t="str">
        <f>IF(L65,SUM(Prestations!D59:AH59),"")</f>
        <v/>
      </c>
      <c r="F65" s="115" t="str">
        <f t="shared" si="1"/>
        <v/>
      </c>
      <c r="G65" s="109" t="str">
        <f t="shared" si="2"/>
        <v/>
      </c>
      <c r="K65" s="34">
        <f>SUM(Prestations!D59:AH59)</f>
        <v>0</v>
      </c>
      <c r="L65" s="34" t="b">
        <f t="shared" si="3"/>
        <v>0</v>
      </c>
    </row>
    <row r="66" spans="2:14" x14ac:dyDescent="0.25">
      <c r="B66" s="107" t="str">
        <f>IF(ISBLANK(Prestations!B60),"",Prestations!B60)</f>
        <v/>
      </c>
      <c r="C66" s="162" t="str">
        <f>Prestations!C60</f>
        <v/>
      </c>
      <c r="D66" s="163"/>
      <c r="E66" s="108" t="str">
        <f>IF(L66,SUM(Prestations!D60:AH60),"")</f>
        <v/>
      </c>
      <c r="F66" s="115" t="str">
        <f t="shared" si="1"/>
        <v/>
      </c>
      <c r="G66" s="109" t="str">
        <f t="shared" si="2"/>
        <v/>
      </c>
      <c r="K66" s="34">
        <f>SUM(Prestations!D60:AH60)</f>
        <v>0</v>
      </c>
      <c r="L66" s="34" t="b">
        <f t="shared" si="3"/>
        <v>0</v>
      </c>
      <c r="N66" s="34" t="s">
        <v>50</v>
      </c>
    </row>
    <row r="67" spans="2:14" x14ac:dyDescent="0.25">
      <c r="B67" s="107" t="str">
        <f>IF(ISBLANK(Prestations!B61),"",Prestations!B61)</f>
        <v/>
      </c>
      <c r="C67" s="162" t="str">
        <f>Prestations!C61</f>
        <v/>
      </c>
      <c r="D67" s="163"/>
      <c r="E67" s="108" t="str">
        <f>IF(L67,SUM(Prestations!D61:AH61),"")</f>
        <v/>
      </c>
      <c r="F67" s="115" t="str">
        <f t="shared" si="1"/>
        <v/>
      </c>
      <c r="G67" s="109" t="str">
        <f t="shared" si="2"/>
        <v/>
      </c>
      <c r="K67" s="34">
        <f>SUM(Prestations!D61:AH61)</f>
        <v>0</v>
      </c>
      <c r="L67" s="34" t="b">
        <f t="shared" si="3"/>
        <v>0</v>
      </c>
    </row>
    <row r="68" spans="2:14" x14ac:dyDescent="0.25">
      <c r="B68" s="107" t="str">
        <f>IF(ISBLANK(Prestations!B62),"",Prestations!B62)</f>
        <v/>
      </c>
      <c r="C68" s="162" t="str">
        <f>Prestations!C62</f>
        <v/>
      </c>
      <c r="D68" s="163"/>
      <c r="E68" s="108" t="str">
        <f>IF(L68,SUM(Prestations!D62:AH62),"")</f>
        <v/>
      </c>
      <c r="F68" s="115" t="str">
        <f t="shared" si="1"/>
        <v/>
      </c>
      <c r="G68" s="109" t="str">
        <f t="shared" si="2"/>
        <v/>
      </c>
      <c r="K68" s="34">
        <f>SUM(Prestations!D62:AH62)</f>
        <v>0</v>
      </c>
      <c r="L68" s="34" t="b">
        <f t="shared" si="3"/>
        <v>0</v>
      </c>
    </row>
    <row r="69" spans="2:14" x14ac:dyDescent="0.25">
      <c r="B69" s="107" t="str">
        <f>IF(ISBLANK(Prestations!B63),"",Prestations!B63)</f>
        <v/>
      </c>
      <c r="C69" s="162" t="str">
        <f>Prestations!C63</f>
        <v/>
      </c>
      <c r="D69" s="163"/>
      <c r="E69" s="108" t="str">
        <f>IF(L69,SUM(Prestations!D63:AH63),"")</f>
        <v/>
      </c>
      <c r="F69" s="115" t="str">
        <f t="shared" si="1"/>
        <v/>
      </c>
      <c r="G69" s="109" t="str">
        <f t="shared" si="2"/>
        <v/>
      </c>
      <c r="K69" s="34">
        <f>SUM(Prestations!D63:AH63)</f>
        <v>0</v>
      </c>
      <c r="L69" s="34" t="b">
        <f t="shared" si="3"/>
        <v>0</v>
      </c>
    </row>
    <row r="70" spans="2:14" x14ac:dyDescent="0.25">
      <c r="B70" s="107" t="str">
        <f>IF(ISBLANK(Prestations!B64),"",Prestations!B64)</f>
        <v/>
      </c>
      <c r="C70" s="162" t="str">
        <f>Prestations!C64</f>
        <v/>
      </c>
      <c r="D70" s="163"/>
      <c r="E70" s="108" t="str">
        <f>IF(L70,SUM(Prestations!D64:AH64),"")</f>
        <v/>
      </c>
      <c r="F70" s="115" t="str">
        <f t="shared" si="1"/>
        <v/>
      </c>
      <c r="G70" s="109" t="str">
        <f t="shared" si="2"/>
        <v/>
      </c>
      <c r="K70" s="34">
        <f>SUM(Prestations!D64:AH64)</f>
        <v>0</v>
      </c>
      <c r="L70" s="34" t="b">
        <f t="shared" si="3"/>
        <v>0</v>
      </c>
    </row>
    <row r="71" spans="2:14" x14ac:dyDescent="0.25">
      <c r="B71" s="107" t="str">
        <f>IF(ISBLANK(Prestations!B65),"",Prestations!B65)</f>
        <v/>
      </c>
      <c r="C71" s="162" t="str">
        <f>Prestations!C65</f>
        <v/>
      </c>
      <c r="D71" s="163"/>
      <c r="E71" s="108" t="str">
        <f>IF(L71,SUM(Prestations!D65:AH65),"")</f>
        <v/>
      </c>
      <c r="F71" s="115" t="str">
        <f t="shared" si="1"/>
        <v/>
      </c>
      <c r="G71" s="109" t="str">
        <f t="shared" si="2"/>
        <v/>
      </c>
      <c r="K71" s="34">
        <f>SUM(Prestations!D65:AH65)</f>
        <v>0</v>
      </c>
      <c r="L71" s="34" t="b">
        <f t="shared" si="3"/>
        <v>0</v>
      </c>
    </row>
    <row r="72" spans="2:14" x14ac:dyDescent="0.25">
      <c r="B72" s="107" t="str">
        <f>IF(ISBLANK(Prestations!B66),"",Prestations!B66)</f>
        <v/>
      </c>
      <c r="C72" s="162" t="str">
        <f>Prestations!C66</f>
        <v/>
      </c>
      <c r="D72" s="163"/>
      <c r="E72" s="108" t="str">
        <f>IF(L72,SUM(Prestations!D66:AH66),"")</f>
        <v/>
      </c>
      <c r="F72" s="115" t="str">
        <f t="shared" si="1"/>
        <v/>
      </c>
      <c r="G72" s="109" t="str">
        <f t="shared" si="2"/>
        <v/>
      </c>
      <c r="K72" s="34">
        <f>SUM(Prestations!D66:AH66)</f>
        <v>0</v>
      </c>
      <c r="L72" s="34" t="b">
        <f t="shared" si="3"/>
        <v>0</v>
      </c>
    </row>
    <row r="73" spans="2:14" x14ac:dyDescent="0.25">
      <c r="B73" s="107" t="str">
        <f>IF(ISBLANK(Prestations!B67),"",Prestations!B67)</f>
        <v/>
      </c>
      <c r="C73" s="162" t="str">
        <f>Prestations!C67</f>
        <v/>
      </c>
      <c r="D73" s="163"/>
      <c r="E73" s="108" t="str">
        <f>IF(L73,SUM(Prestations!D67:AH67),"")</f>
        <v/>
      </c>
      <c r="F73" s="115" t="str">
        <f t="shared" si="1"/>
        <v/>
      </c>
      <c r="G73" s="109" t="str">
        <f t="shared" si="2"/>
        <v/>
      </c>
      <c r="K73" s="34">
        <f>SUM(Prestations!D67:AH67)</f>
        <v>0</v>
      </c>
      <c r="L73" s="34" t="b">
        <f t="shared" si="3"/>
        <v>0</v>
      </c>
    </row>
    <row r="74" spans="2:14" x14ac:dyDescent="0.25">
      <c r="B74" s="107" t="str">
        <f>IF(ISBLANK(Prestations!B68),"",Prestations!B68)</f>
        <v/>
      </c>
      <c r="C74" s="162" t="str">
        <f>Prestations!C68</f>
        <v/>
      </c>
      <c r="D74" s="163"/>
      <c r="E74" s="108" t="str">
        <f>IF(L74,SUM(Prestations!D68:AH68),"")</f>
        <v/>
      </c>
      <c r="F74" s="115" t="str">
        <f t="shared" si="1"/>
        <v/>
      </c>
      <c r="G74" s="109" t="str">
        <f t="shared" si="2"/>
        <v/>
      </c>
      <c r="K74" s="34">
        <f>SUM(Prestations!D68:AH68)</f>
        <v>0</v>
      </c>
      <c r="L74" s="34" t="b">
        <f t="shared" si="3"/>
        <v>0</v>
      </c>
    </row>
    <row r="75" spans="2:14" x14ac:dyDescent="0.25">
      <c r="B75" s="107" t="str">
        <f>IF(ISBLANK(Prestations!B69),"",Prestations!B69)</f>
        <v/>
      </c>
      <c r="C75" s="162" t="str">
        <f>Prestations!C69</f>
        <v/>
      </c>
      <c r="D75" s="163"/>
      <c r="E75" s="108" t="str">
        <f>IF(L75,SUM(Prestations!D69:AH69),"")</f>
        <v/>
      </c>
      <c r="F75" s="115" t="str">
        <f t="shared" si="1"/>
        <v/>
      </c>
      <c r="G75" s="109" t="str">
        <f t="shared" si="2"/>
        <v/>
      </c>
      <c r="K75" s="34">
        <f>SUM(Prestations!D69:AH69)</f>
        <v>0</v>
      </c>
      <c r="L75" s="34" t="b">
        <f t="shared" si="3"/>
        <v>0</v>
      </c>
    </row>
    <row r="76" spans="2:14" x14ac:dyDescent="0.25">
      <c r="B76" s="107" t="str">
        <f>IF(ISBLANK(Prestations!B70),"",Prestations!B70)</f>
        <v/>
      </c>
      <c r="C76" s="162" t="str">
        <f>Prestations!C70</f>
        <v/>
      </c>
      <c r="D76" s="163"/>
      <c r="E76" s="108" t="str">
        <f>IF(L76,SUM(Prestations!D70:AH70),"")</f>
        <v/>
      </c>
      <c r="F76" s="115" t="str">
        <f t="shared" si="1"/>
        <v/>
      </c>
      <c r="G76" s="109" t="str">
        <f t="shared" si="2"/>
        <v/>
      </c>
      <c r="K76" s="34">
        <f>SUM(Prestations!D70:AH70)</f>
        <v>0</v>
      </c>
      <c r="L76" s="34" t="b">
        <f t="shared" si="3"/>
        <v>0</v>
      </c>
    </row>
    <row r="77" spans="2:14" x14ac:dyDescent="0.25">
      <c r="B77" s="107" t="str">
        <f>IF(ISBLANK(Prestations!B71),"",Prestations!B71)</f>
        <v/>
      </c>
      <c r="C77" s="162" t="str">
        <f>Prestations!C71</f>
        <v/>
      </c>
      <c r="D77" s="163"/>
      <c r="E77" s="108" t="str">
        <f>IF(L77,SUM(Prestations!D71:AH71),"")</f>
        <v/>
      </c>
      <c r="F77" s="115" t="str">
        <f t="shared" si="1"/>
        <v/>
      </c>
      <c r="G77" s="109" t="str">
        <f t="shared" si="2"/>
        <v/>
      </c>
      <c r="K77" s="34">
        <f>SUM(Prestations!D71:AH71)</f>
        <v>0</v>
      </c>
      <c r="L77" s="34" t="b">
        <f t="shared" si="3"/>
        <v>0</v>
      </c>
    </row>
    <row r="78" spans="2:14" x14ac:dyDescent="0.25">
      <c r="B78" s="107" t="str">
        <f>IF(ISBLANK(Prestations!B72),"",Prestations!B72)</f>
        <v/>
      </c>
      <c r="C78" s="162" t="str">
        <f>Prestations!C72</f>
        <v/>
      </c>
      <c r="D78" s="163"/>
      <c r="E78" s="108" t="str">
        <f>IF(L78,SUM(Prestations!D72:AH72),"")</f>
        <v/>
      </c>
      <c r="F78" s="115" t="str">
        <f t="shared" ref="F78:F125" si="4">IF(L78,E78/C$8,"")</f>
        <v/>
      </c>
      <c r="G78" s="109" t="str">
        <f t="shared" ref="G78:G124" si="5">IF(L78,E78/E$126,"")</f>
        <v/>
      </c>
      <c r="K78" s="34">
        <f>SUM(Prestations!D72:AH72)</f>
        <v>0</v>
      </c>
      <c r="L78" s="34" t="b">
        <f t="shared" ref="L78:L124" si="6">K78&gt;0</f>
        <v>0</v>
      </c>
    </row>
    <row r="79" spans="2:14" x14ac:dyDescent="0.25">
      <c r="B79" s="107" t="str">
        <f>IF(ISBLANK(Prestations!B73),"",Prestations!B73)</f>
        <v/>
      </c>
      <c r="C79" s="162" t="str">
        <f>Prestations!C73</f>
        <v/>
      </c>
      <c r="D79" s="163"/>
      <c r="E79" s="108" t="str">
        <f>IF(L79,SUM(Prestations!D73:AH73),"")</f>
        <v/>
      </c>
      <c r="F79" s="115" t="str">
        <f t="shared" si="4"/>
        <v/>
      </c>
      <c r="G79" s="109" t="str">
        <f t="shared" si="5"/>
        <v/>
      </c>
      <c r="K79" s="34">
        <f>SUM(Prestations!D73:AH73)</f>
        <v>0</v>
      </c>
      <c r="L79" s="34" t="b">
        <f t="shared" si="6"/>
        <v>0</v>
      </c>
    </row>
    <row r="80" spans="2:14" x14ac:dyDescent="0.25">
      <c r="B80" s="107" t="str">
        <f>IF(ISBLANK(Prestations!B74),"",Prestations!B74)</f>
        <v/>
      </c>
      <c r="C80" s="162" t="str">
        <f>Prestations!C74</f>
        <v/>
      </c>
      <c r="D80" s="163"/>
      <c r="E80" s="108" t="str">
        <f>IF(L80,SUM(Prestations!D74:AH74),"")</f>
        <v/>
      </c>
      <c r="F80" s="115" t="str">
        <f t="shared" si="4"/>
        <v/>
      </c>
      <c r="G80" s="109" t="str">
        <f t="shared" si="5"/>
        <v/>
      </c>
      <c r="K80" s="34">
        <f>SUM(Prestations!D74:AH74)</f>
        <v>0</v>
      </c>
      <c r="L80" s="34" t="b">
        <f t="shared" si="6"/>
        <v>0</v>
      </c>
    </row>
    <row r="81" spans="2:14" x14ac:dyDescent="0.25">
      <c r="B81" s="107" t="str">
        <f>IF(ISBLANK(Prestations!B75),"",Prestations!B75)</f>
        <v/>
      </c>
      <c r="C81" s="162" t="str">
        <f>Prestations!C75</f>
        <v/>
      </c>
      <c r="D81" s="163"/>
      <c r="E81" s="108" t="str">
        <f>IF(L81,SUM(Prestations!D75:AH75),"")</f>
        <v/>
      </c>
      <c r="F81" s="115" t="str">
        <f t="shared" si="4"/>
        <v/>
      </c>
      <c r="G81" s="109" t="str">
        <f t="shared" si="5"/>
        <v/>
      </c>
      <c r="K81" s="34">
        <f>SUM(Prestations!D75:AH75)</f>
        <v>0</v>
      </c>
      <c r="L81" s="34" t="b">
        <f t="shared" si="6"/>
        <v>0</v>
      </c>
    </row>
    <row r="82" spans="2:14" x14ac:dyDescent="0.25">
      <c r="B82" s="107" t="str">
        <f>IF(ISBLANK(Prestations!B76),"",Prestations!B76)</f>
        <v/>
      </c>
      <c r="C82" s="162" t="str">
        <f>Prestations!C76</f>
        <v/>
      </c>
      <c r="D82" s="163"/>
      <c r="E82" s="108" t="str">
        <f>IF(L82,SUM(Prestations!D76:AH76),"")</f>
        <v/>
      </c>
      <c r="F82" s="115" t="str">
        <f t="shared" si="4"/>
        <v/>
      </c>
      <c r="G82" s="109" t="str">
        <f t="shared" si="5"/>
        <v/>
      </c>
      <c r="K82" s="34">
        <f>SUM(Prestations!D76:AH76)</f>
        <v>0</v>
      </c>
      <c r="L82" s="34" t="b">
        <f t="shared" si="6"/>
        <v>0</v>
      </c>
    </row>
    <row r="83" spans="2:14" x14ac:dyDescent="0.25">
      <c r="B83" s="107" t="str">
        <f>IF(ISBLANK(Prestations!B77),"",Prestations!B77)</f>
        <v/>
      </c>
      <c r="C83" s="162" t="str">
        <f>Prestations!C77</f>
        <v/>
      </c>
      <c r="D83" s="163"/>
      <c r="E83" s="108" t="str">
        <f>IF(L83,SUM(Prestations!D77:AH77),"")</f>
        <v/>
      </c>
      <c r="F83" s="115" t="str">
        <f t="shared" si="4"/>
        <v/>
      </c>
      <c r="G83" s="109" t="str">
        <f t="shared" si="5"/>
        <v/>
      </c>
      <c r="K83" s="34">
        <f>SUM(Prestations!D77:AH77)</f>
        <v>0</v>
      </c>
      <c r="L83" s="34" t="b">
        <f t="shared" si="6"/>
        <v>0</v>
      </c>
    </row>
    <row r="84" spans="2:14" x14ac:dyDescent="0.25">
      <c r="B84" s="107" t="str">
        <f>IF(ISBLANK(Prestations!B78),"",Prestations!B78)</f>
        <v/>
      </c>
      <c r="C84" s="162" t="str">
        <f>Prestations!C78</f>
        <v/>
      </c>
      <c r="D84" s="163"/>
      <c r="E84" s="108" t="str">
        <f>IF(L84,SUM(Prestations!D78:AH78),"")</f>
        <v/>
      </c>
      <c r="F84" s="115" t="str">
        <f t="shared" si="4"/>
        <v/>
      </c>
      <c r="G84" s="109" t="str">
        <f t="shared" si="5"/>
        <v/>
      </c>
      <c r="K84" s="34">
        <f>SUM(Prestations!D78:AH78)</f>
        <v>0</v>
      </c>
      <c r="L84" s="34" t="b">
        <f t="shared" si="6"/>
        <v>0</v>
      </c>
    </row>
    <row r="85" spans="2:14" x14ac:dyDescent="0.25">
      <c r="B85" s="107" t="str">
        <f>IF(ISBLANK(Prestations!B79),"",Prestations!B79)</f>
        <v/>
      </c>
      <c r="C85" s="162" t="str">
        <f>Prestations!C79</f>
        <v/>
      </c>
      <c r="D85" s="163"/>
      <c r="E85" s="108" t="str">
        <f>IF(L85,SUM(Prestations!D79:AH79),"")</f>
        <v/>
      </c>
      <c r="F85" s="115" t="str">
        <f t="shared" si="4"/>
        <v/>
      </c>
      <c r="G85" s="109" t="str">
        <f t="shared" si="5"/>
        <v/>
      </c>
      <c r="K85" s="34">
        <f>SUM(Prestations!D79:AH79)</f>
        <v>0</v>
      </c>
      <c r="L85" s="34" t="b">
        <f t="shared" si="6"/>
        <v>0</v>
      </c>
    </row>
    <row r="86" spans="2:14" x14ac:dyDescent="0.25">
      <c r="B86" s="107" t="str">
        <f>IF(ISBLANK(Prestations!B80),"",Prestations!B80)</f>
        <v/>
      </c>
      <c r="C86" s="162" t="str">
        <f>Prestations!C80</f>
        <v/>
      </c>
      <c r="D86" s="163"/>
      <c r="E86" s="108" t="str">
        <f>IF(L86,SUM(Prestations!D80:AH80),"")</f>
        <v/>
      </c>
      <c r="F86" s="115" t="str">
        <f t="shared" si="4"/>
        <v/>
      </c>
      <c r="G86" s="109" t="str">
        <f t="shared" si="5"/>
        <v/>
      </c>
      <c r="K86" s="34">
        <f>SUM(Prestations!D80:AH80)</f>
        <v>0</v>
      </c>
      <c r="L86" s="34" t="b">
        <f t="shared" si="6"/>
        <v>0</v>
      </c>
    </row>
    <row r="87" spans="2:14" x14ac:dyDescent="0.25">
      <c r="B87" s="107" t="str">
        <f>IF(ISBLANK(Prestations!B81),"",Prestations!B81)</f>
        <v/>
      </c>
      <c r="C87" s="162" t="str">
        <f>Prestations!C81</f>
        <v/>
      </c>
      <c r="D87" s="163"/>
      <c r="E87" s="108" t="str">
        <f>IF(L87,SUM(Prestations!D81:AH81),"")</f>
        <v/>
      </c>
      <c r="F87" s="115" t="str">
        <f t="shared" si="4"/>
        <v/>
      </c>
      <c r="G87" s="109" t="str">
        <f t="shared" si="5"/>
        <v/>
      </c>
      <c r="K87" s="34">
        <f>SUM(Prestations!D81:AH81)</f>
        <v>0</v>
      </c>
      <c r="L87" s="34" t="b">
        <f t="shared" si="6"/>
        <v>0</v>
      </c>
    </row>
    <row r="88" spans="2:14" x14ac:dyDescent="0.25">
      <c r="B88" s="107" t="str">
        <f>IF(ISBLANK(Prestations!B82),"",Prestations!B82)</f>
        <v/>
      </c>
      <c r="C88" s="162" t="str">
        <f>Prestations!C82</f>
        <v/>
      </c>
      <c r="D88" s="163"/>
      <c r="E88" s="108" t="str">
        <f>IF(L88,SUM(Prestations!D82:AH82),"")</f>
        <v/>
      </c>
      <c r="F88" s="115" t="str">
        <f t="shared" si="4"/>
        <v/>
      </c>
      <c r="G88" s="109" t="str">
        <f t="shared" si="5"/>
        <v/>
      </c>
      <c r="K88" s="34">
        <f>SUM(Prestations!D82:AH82)</f>
        <v>0</v>
      </c>
      <c r="L88" s="34" t="b">
        <f t="shared" si="6"/>
        <v>0</v>
      </c>
    </row>
    <row r="89" spans="2:14" x14ac:dyDescent="0.25">
      <c r="B89" s="107" t="str">
        <f>IF(ISBLANK(Prestations!B83),"",Prestations!B83)</f>
        <v/>
      </c>
      <c r="C89" s="162" t="str">
        <f>Prestations!C83</f>
        <v/>
      </c>
      <c r="D89" s="163"/>
      <c r="E89" s="108" t="str">
        <f>IF(L89,SUM(Prestations!D83:AH83),"")</f>
        <v/>
      </c>
      <c r="F89" s="115" t="str">
        <f t="shared" si="4"/>
        <v/>
      </c>
      <c r="G89" s="109" t="str">
        <f t="shared" si="5"/>
        <v/>
      </c>
      <c r="K89" s="34">
        <f>SUM(Prestations!D83:AH83)</f>
        <v>0</v>
      </c>
      <c r="L89" s="34" t="b">
        <f t="shared" si="6"/>
        <v>0</v>
      </c>
    </row>
    <row r="90" spans="2:14" x14ac:dyDescent="0.25">
      <c r="B90" s="107" t="str">
        <f>IF(ISBLANK(Prestations!B84),"",Prestations!B84)</f>
        <v/>
      </c>
      <c r="C90" s="162" t="str">
        <f>Prestations!C84</f>
        <v/>
      </c>
      <c r="D90" s="163"/>
      <c r="E90" s="108" t="str">
        <f>IF(L90,SUM(Prestations!D84:AH84),"")</f>
        <v/>
      </c>
      <c r="F90" s="115" t="str">
        <f t="shared" si="4"/>
        <v/>
      </c>
      <c r="G90" s="109" t="str">
        <f t="shared" si="5"/>
        <v/>
      </c>
      <c r="K90" s="34">
        <f>SUM(Prestations!D84:AH84)</f>
        <v>0</v>
      </c>
      <c r="L90" s="34" t="b">
        <f t="shared" si="6"/>
        <v>0</v>
      </c>
    </row>
    <row r="91" spans="2:14" x14ac:dyDescent="0.25">
      <c r="B91" s="107" t="str">
        <f>IF(ISBLANK(Prestations!B85),"",Prestations!B85)</f>
        <v/>
      </c>
      <c r="C91" s="162" t="str">
        <f>Prestations!C85</f>
        <v/>
      </c>
      <c r="D91" s="163"/>
      <c r="E91" s="108" t="str">
        <f>IF(L91,SUM(Prestations!D85:AH85),"")</f>
        <v/>
      </c>
      <c r="F91" s="115" t="str">
        <f t="shared" si="4"/>
        <v/>
      </c>
      <c r="G91" s="109" t="str">
        <f t="shared" si="5"/>
        <v/>
      </c>
      <c r="K91" s="34">
        <f>SUM(Prestations!D85:AH85)</f>
        <v>0</v>
      </c>
      <c r="L91" s="34" t="b">
        <f t="shared" si="6"/>
        <v>0</v>
      </c>
    </row>
    <row r="92" spans="2:14" x14ac:dyDescent="0.25">
      <c r="B92" s="107" t="str">
        <f>IF(ISBLANK(Prestations!B86),"",Prestations!B86)</f>
        <v/>
      </c>
      <c r="C92" s="162" t="str">
        <f>Prestations!C86</f>
        <v/>
      </c>
      <c r="D92" s="163"/>
      <c r="E92" s="108" t="str">
        <f>IF(L92,SUM(Prestations!D86:AH86),"")</f>
        <v/>
      </c>
      <c r="F92" s="115" t="str">
        <f t="shared" si="4"/>
        <v/>
      </c>
      <c r="G92" s="109" t="str">
        <f t="shared" si="5"/>
        <v/>
      </c>
      <c r="K92" s="34">
        <f>SUM(Prestations!D86:AH86)</f>
        <v>0</v>
      </c>
      <c r="L92" s="34" t="b">
        <f t="shared" si="6"/>
        <v>0</v>
      </c>
    </row>
    <row r="93" spans="2:14" x14ac:dyDescent="0.25">
      <c r="B93" s="107" t="str">
        <f>IF(ISBLANK(Prestations!B87),"",Prestations!B87)</f>
        <v/>
      </c>
      <c r="C93" s="162" t="str">
        <f>Prestations!C87</f>
        <v/>
      </c>
      <c r="D93" s="163"/>
      <c r="E93" s="108" t="str">
        <f>IF(L93,SUM(Prestations!D87:AH87),"")</f>
        <v/>
      </c>
      <c r="F93" s="115" t="str">
        <f t="shared" si="4"/>
        <v/>
      </c>
      <c r="G93" s="109" t="str">
        <f t="shared" si="5"/>
        <v/>
      </c>
      <c r="K93" s="34">
        <f>SUM(Prestations!D87:AH87)</f>
        <v>0</v>
      </c>
      <c r="L93" s="34" t="b">
        <f t="shared" si="6"/>
        <v>0</v>
      </c>
      <c r="N93" s="34" t="s">
        <v>50</v>
      </c>
    </row>
    <row r="94" spans="2:14" x14ac:dyDescent="0.25">
      <c r="B94" s="107" t="str">
        <f>IF(ISBLANK(Prestations!B88),"",Prestations!B88)</f>
        <v/>
      </c>
      <c r="C94" s="162" t="str">
        <f>Prestations!C88</f>
        <v/>
      </c>
      <c r="D94" s="163"/>
      <c r="E94" s="108" t="str">
        <f>IF(L94,SUM(Prestations!D88:AH88),"")</f>
        <v/>
      </c>
      <c r="F94" s="115" t="str">
        <f t="shared" si="4"/>
        <v/>
      </c>
      <c r="G94" s="109" t="str">
        <f t="shared" si="5"/>
        <v/>
      </c>
      <c r="K94" s="34">
        <f>SUM(Prestations!D88:AH88)</f>
        <v>0</v>
      </c>
      <c r="L94" s="34" t="b">
        <f t="shared" si="6"/>
        <v>0</v>
      </c>
    </row>
    <row r="95" spans="2:14" x14ac:dyDescent="0.25">
      <c r="B95" s="107" t="str">
        <f>IF(ISBLANK(Prestations!B89),"",Prestations!B89)</f>
        <v/>
      </c>
      <c r="C95" s="162" t="str">
        <f>Prestations!C89</f>
        <v/>
      </c>
      <c r="D95" s="163"/>
      <c r="E95" s="108" t="str">
        <f>IF(L95,SUM(Prestations!D89:AH89),"")</f>
        <v/>
      </c>
      <c r="F95" s="115" t="str">
        <f t="shared" si="4"/>
        <v/>
      </c>
      <c r="G95" s="109" t="str">
        <f t="shared" si="5"/>
        <v/>
      </c>
      <c r="K95" s="34">
        <f>SUM(Prestations!D89:AH89)</f>
        <v>0</v>
      </c>
      <c r="L95" s="34" t="b">
        <f t="shared" si="6"/>
        <v>0</v>
      </c>
    </row>
    <row r="96" spans="2:14" x14ac:dyDescent="0.25">
      <c r="B96" s="107" t="str">
        <f>IF(ISBLANK(Prestations!B90),"",Prestations!B90)</f>
        <v/>
      </c>
      <c r="C96" s="162" t="str">
        <f>Prestations!C90</f>
        <v/>
      </c>
      <c r="D96" s="163"/>
      <c r="E96" s="108" t="str">
        <f>IF(L96,SUM(Prestations!D90:AH90),"")</f>
        <v/>
      </c>
      <c r="F96" s="115" t="str">
        <f t="shared" si="4"/>
        <v/>
      </c>
      <c r="G96" s="109" t="str">
        <f t="shared" si="5"/>
        <v/>
      </c>
      <c r="K96" s="34">
        <f>SUM(Prestations!D90:AH90)</f>
        <v>0</v>
      </c>
      <c r="L96" s="34" t="b">
        <f t="shared" si="6"/>
        <v>0</v>
      </c>
    </row>
    <row r="97" spans="2:14" x14ac:dyDescent="0.25">
      <c r="B97" s="107" t="str">
        <f>IF(ISBLANK(Prestations!B91),"",Prestations!B91)</f>
        <v/>
      </c>
      <c r="C97" s="162" t="str">
        <f>Prestations!C91</f>
        <v/>
      </c>
      <c r="D97" s="163"/>
      <c r="E97" s="108" t="str">
        <f>IF(L97,SUM(Prestations!D91:AH91),"")</f>
        <v/>
      </c>
      <c r="F97" s="115" t="str">
        <f t="shared" si="4"/>
        <v/>
      </c>
      <c r="G97" s="109" t="str">
        <f t="shared" si="5"/>
        <v/>
      </c>
      <c r="K97" s="34">
        <f>SUM(Prestations!D91:AH91)</f>
        <v>0</v>
      </c>
      <c r="L97" s="34" t="b">
        <f t="shared" si="6"/>
        <v>0</v>
      </c>
    </row>
    <row r="98" spans="2:14" x14ac:dyDescent="0.25">
      <c r="B98" s="107" t="str">
        <f>IF(ISBLANK(Prestations!B92),"",Prestations!B92)</f>
        <v/>
      </c>
      <c r="C98" s="162" t="str">
        <f>Prestations!C92</f>
        <v/>
      </c>
      <c r="D98" s="163"/>
      <c r="E98" s="108" t="str">
        <f>IF(L98,SUM(Prestations!D92:AH92),"")</f>
        <v/>
      </c>
      <c r="F98" s="115" t="str">
        <f t="shared" si="4"/>
        <v/>
      </c>
      <c r="G98" s="109" t="str">
        <f t="shared" si="5"/>
        <v/>
      </c>
      <c r="K98" s="34">
        <f>SUM(Prestations!D92:AH92)</f>
        <v>0</v>
      </c>
      <c r="L98" s="34" t="b">
        <f t="shared" si="6"/>
        <v>0</v>
      </c>
    </row>
    <row r="99" spans="2:14" x14ac:dyDescent="0.25">
      <c r="B99" s="107" t="str">
        <f>IF(ISBLANK(Prestations!B93),"",Prestations!B93)</f>
        <v/>
      </c>
      <c r="C99" s="162" t="str">
        <f>Prestations!C93</f>
        <v/>
      </c>
      <c r="D99" s="163"/>
      <c r="E99" s="108" t="str">
        <f>IF(L99,SUM(Prestations!D93:AH93),"")</f>
        <v/>
      </c>
      <c r="F99" s="115" t="str">
        <f t="shared" si="4"/>
        <v/>
      </c>
      <c r="G99" s="109" t="str">
        <f t="shared" si="5"/>
        <v/>
      </c>
      <c r="K99" s="34">
        <f>SUM(Prestations!D93:AH93)</f>
        <v>0</v>
      </c>
      <c r="L99" s="34" t="b">
        <f t="shared" si="6"/>
        <v>0</v>
      </c>
    </row>
    <row r="100" spans="2:14" x14ac:dyDescent="0.25">
      <c r="B100" s="107" t="str">
        <f>IF(ISBLANK(Prestations!B94),"",Prestations!B94)</f>
        <v/>
      </c>
      <c r="C100" s="162" t="str">
        <f>Prestations!C94</f>
        <v/>
      </c>
      <c r="D100" s="163"/>
      <c r="E100" s="108" t="str">
        <f>IF(L100,SUM(Prestations!D94:AH94),"")</f>
        <v/>
      </c>
      <c r="F100" s="115" t="str">
        <f t="shared" si="4"/>
        <v/>
      </c>
      <c r="G100" s="109" t="str">
        <f t="shared" si="5"/>
        <v/>
      </c>
      <c r="K100" s="34">
        <f>SUM(Prestations!D94:AH94)</f>
        <v>0</v>
      </c>
      <c r="L100" s="34" t="b">
        <f t="shared" si="6"/>
        <v>0</v>
      </c>
    </row>
    <row r="101" spans="2:14" x14ac:dyDescent="0.25">
      <c r="B101" s="107" t="str">
        <f>IF(ISBLANK(Prestations!B95),"",Prestations!B95)</f>
        <v/>
      </c>
      <c r="C101" s="162" t="str">
        <f>Prestations!C95</f>
        <v/>
      </c>
      <c r="D101" s="163"/>
      <c r="E101" s="108" t="str">
        <f>IF(L101,SUM(Prestations!D95:AH95),"")</f>
        <v/>
      </c>
      <c r="F101" s="115" t="str">
        <f t="shared" si="4"/>
        <v/>
      </c>
      <c r="G101" s="109" t="str">
        <f t="shared" si="5"/>
        <v/>
      </c>
      <c r="K101" s="34">
        <f>SUM(Prestations!D95:AH95)</f>
        <v>0</v>
      </c>
      <c r="L101" s="34" t="b">
        <f t="shared" si="6"/>
        <v>0</v>
      </c>
      <c r="N101" s="34" t="s">
        <v>50</v>
      </c>
    </row>
    <row r="102" spans="2:14" x14ac:dyDescent="0.25">
      <c r="B102" s="107" t="str">
        <f>IF(ISBLANK(Prestations!B96),"",Prestations!B96)</f>
        <v/>
      </c>
      <c r="C102" s="162" t="str">
        <f>Prestations!C96</f>
        <v/>
      </c>
      <c r="D102" s="163"/>
      <c r="E102" s="108" t="str">
        <f>IF(L102,SUM(Prestations!D96:AH96),"")</f>
        <v/>
      </c>
      <c r="F102" s="115" t="str">
        <f t="shared" si="4"/>
        <v/>
      </c>
      <c r="G102" s="109" t="str">
        <f t="shared" si="5"/>
        <v/>
      </c>
      <c r="K102" s="34">
        <f>SUM(Prestations!D96:AH96)</f>
        <v>0</v>
      </c>
      <c r="L102" s="34" t="b">
        <f t="shared" si="6"/>
        <v>0</v>
      </c>
    </row>
    <row r="103" spans="2:14" x14ac:dyDescent="0.25">
      <c r="B103" s="107" t="str">
        <f>IF(ISBLANK(Prestations!B97),"",Prestations!B97)</f>
        <v/>
      </c>
      <c r="C103" s="162" t="str">
        <f>Prestations!C97</f>
        <v/>
      </c>
      <c r="D103" s="163"/>
      <c r="E103" s="108" t="str">
        <f>IF(L103,SUM(Prestations!D97:AH97),"")</f>
        <v/>
      </c>
      <c r="F103" s="115" t="str">
        <f t="shared" si="4"/>
        <v/>
      </c>
      <c r="G103" s="109" t="str">
        <f t="shared" si="5"/>
        <v/>
      </c>
      <c r="K103" s="34">
        <f>SUM(Prestations!D97:AH97)</f>
        <v>0</v>
      </c>
      <c r="L103" s="34" t="b">
        <f t="shared" si="6"/>
        <v>0</v>
      </c>
    </row>
    <row r="104" spans="2:14" x14ac:dyDescent="0.25">
      <c r="B104" s="107" t="str">
        <f>IF(ISBLANK(Prestations!B98),"",Prestations!B98)</f>
        <v/>
      </c>
      <c r="C104" s="162" t="str">
        <f>Prestations!C98</f>
        <v/>
      </c>
      <c r="D104" s="163"/>
      <c r="E104" s="108" t="str">
        <f>IF(L104,SUM(Prestations!D98:AH98),"")</f>
        <v/>
      </c>
      <c r="F104" s="115" t="str">
        <f t="shared" si="4"/>
        <v/>
      </c>
      <c r="G104" s="109" t="str">
        <f t="shared" si="5"/>
        <v/>
      </c>
      <c r="K104" s="34">
        <f>SUM(Prestations!D98:AH98)</f>
        <v>0</v>
      </c>
      <c r="L104" s="34" t="b">
        <f t="shared" si="6"/>
        <v>0</v>
      </c>
    </row>
    <row r="105" spans="2:14" x14ac:dyDescent="0.25">
      <c r="B105" s="107" t="str">
        <f>IF(ISBLANK(Prestations!B99),"",Prestations!B99)</f>
        <v/>
      </c>
      <c r="C105" s="162" t="str">
        <f>Prestations!C99</f>
        <v/>
      </c>
      <c r="D105" s="163"/>
      <c r="E105" s="108" t="str">
        <f>IF(L105,SUM(Prestations!D99:AH99),"")</f>
        <v/>
      </c>
      <c r="F105" s="115" t="str">
        <f t="shared" si="4"/>
        <v/>
      </c>
      <c r="G105" s="109" t="str">
        <f t="shared" si="5"/>
        <v/>
      </c>
      <c r="K105" s="34">
        <f>SUM(Prestations!D99:AH99)</f>
        <v>0</v>
      </c>
      <c r="L105" s="34" t="b">
        <f t="shared" si="6"/>
        <v>0</v>
      </c>
    </row>
    <row r="106" spans="2:14" x14ac:dyDescent="0.25">
      <c r="B106" s="107" t="str">
        <f>IF(ISBLANK(Prestations!B100),"",Prestations!B100)</f>
        <v/>
      </c>
      <c r="C106" s="162" t="str">
        <f>Prestations!C100</f>
        <v/>
      </c>
      <c r="D106" s="163"/>
      <c r="E106" s="108" t="str">
        <f>IF(L106,SUM(Prestations!D100:AH100),"")</f>
        <v/>
      </c>
      <c r="F106" s="115" t="str">
        <f t="shared" si="4"/>
        <v/>
      </c>
      <c r="G106" s="109" t="str">
        <f t="shared" si="5"/>
        <v/>
      </c>
      <c r="K106" s="34">
        <f>SUM(Prestations!D100:AH100)</f>
        <v>0</v>
      </c>
      <c r="L106" s="34" t="b">
        <f t="shared" si="6"/>
        <v>0</v>
      </c>
    </row>
    <row r="107" spans="2:14" x14ac:dyDescent="0.25">
      <c r="B107" s="107" t="str">
        <f>IF(ISBLANK(Prestations!B101),"",Prestations!B101)</f>
        <v/>
      </c>
      <c r="C107" s="162" t="str">
        <f>Prestations!C101</f>
        <v/>
      </c>
      <c r="D107" s="163"/>
      <c r="E107" s="108" t="str">
        <f>IF(L107,SUM(Prestations!D101:AH101),"")</f>
        <v/>
      </c>
      <c r="F107" s="115" t="str">
        <f t="shared" si="4"/>
        <v/>
      </c>
      <c r="G107" s="109" t="str">
        <f t="shared" si="5"/>
        <v/>
      </c>
      <c r="K107" s="34">
        <f>SUM(Prestations!D101:AH101)</f>
        <v>0</v>
      </c>
      <c r="L107" s="34" t="b">
        <f t="shared" si="6"/>
        <v>0</v>
      </c>
    </row>
    <row r="108" spans="2:14" x14ac:dyDescent="0.25">
      <c r="B108" s="107" t="str">
        <f>IF(ISBLANK(Prestations!B102),"",Prestations!B102)</f>
        <v/>
      </c>
      <c r="C108" s="162" t="str">
        <f>Prestations!C102</f>
        <v/>
      </c>
      <c r="D108" s="163"/>
      <c r="E108" s="108" t="str">
        <f>IF(L108,SUM(Prestations!D102:AH102),"")</f>
        <v/>
      </c>
      <c r="F108" s="115" t="str">
        <f t="shared" si="4"/>
        <v/>
      </c>
      <c r="G108" s="109" t="str">
        <f t="shared" si="5"/>
        <v/>
      </c>
      <c r="K108" s="34">
        <f>SUM(Prestations!D102:AH102)</f>
        <v>0</v>
      </c>
      <c r="L108" s="34" t="b">
        <f t="shared" si="6"/>
        <v>0</v>
      </c>
    </row>
    <row r="109" spans="2:14" x14ac:dyDescent="0.25">
      <c r="B109" s="107" t="str">
        <f>IF(ISBLANK(Prestations!B103),"",Prestations!B103)</f>
        <v/>
      </c>
      <c r="C109" s="162" t="str">
        <f>Prestations!C103</f>
        <v/>
      </c>
      <c r="D109" s="163"/>
      <c r="E109" s="108" t="str">
        <f>IF(L109,SUM(Prestations!D103:AH103),"")</f>
        <v/>
      </c>
      <c r="F109" s="115" t="str">
        <f t="shared" si="4"/>
        <v/>
      </c>
      <c r="G109" s="109" t="str">
        <f t="shared" si="5"/>
        <v/>
      </c>
      <c r="K109" s="34">
        <f>SUM(Prestations!D103:AH103)</f>
        <v>0</v>
      </c>
      <c r="L109" s="34" t="b">
        <f t="shared" si="6"/>
        <v>0</v>
      </c>
    </row>
    <row r="110" spans="2:14" x14ac:dyDescent="0.25">
      <c r="B110" s="107" t="str">
        <f>IF(ISBLANK(Prestations!B104),"",Prestations!B104)</f>
        <v/>
      </c>
      <c r="C110" s="162" t="str">
        <f>Prestations!C104</f>
        <v/>
      </c>
      <c r="D110" s="163"/>
      <c r="E110" s="108" t="str">
        <f>IF(L110,SUM(Prestations!D104:AH104),"")</f>
        <v/>
      </c>
      <c r="F110" s="115" t="str">
        <f t="shared" si="4"/>
        <v/>
      </c>
      <c r="G110" s="109" t="str">
        <f t="shared" si="5"/>
        <v/>
      </c>
      <c r="K110" s="34">
        <f>SUM(Prestations!D104:AH104)</f>
        <v>0</v>
      </c>
      <c r="L110" s="34" t="b">
        <f t="shared" si="6"/>
        <v>0</v>
      </c>
    </row>
    <row r="111" spans="2:14" x14ac:dyDescent="0.25">
      <c r="B111" s="107" t="str">
        <f>IF(ISBLANK(Prestations!B105),"",Prestations!B105)</f>
        <v/>
      </c>
      <c r="C111" s="162" t="str">
        <f>Prestations!C105</f>
        <v/>
      </c>
      <c r="D111" s="163"/>
      <c r="E111" s="108" t="str">
        <f>IF(L111,SUM(Prestations!D105:AH105),"")</f>
        <v/>
      </c>
      <c r="F111" s="115" t="str">
        <f t="shared" si="4"/>
        <v/>
      </c>
      <c r="G111" s="109" t="str">
        <f t="shared" si="5"/>
        <v/>
      </c>
      <c r="K111" s="34">
        <f>SUM(Prestations!D105:AH105)</f>
        <v>0</v>
      </c>
      <c r="L111" s="34" t="b">
        <f t="shared" si="6"/>
        <v>0</v>
      </c>
    </row>
    <row r="112" spans="2:14" x14ac:dyDescent="0.25">
      <c r="B112" s="107" t="str">
        <f>IF(ISBLANK(Prestations!B106),"",Prestations!B106)</f>
        <v/>
      </c>
      <c r="C112" s="162" t="str">
        <f>Prestations!C106</f>
        <v/>
      </c>
      <c r="D112" s="163"/>
      <c r="E112" s="108" t="str">
        <f>IF(L112,SUM(Prestations!D106:AH106),"")</f>
        <v/>
      </c>
      <c r="F112" s="115" t="str">
        <f t="shared" si="4"/>
        <v/>
      </c>
      <c r="G112" s="109" t="str">
        <f t="shared" si="5"/>
        <v/>
      </c>
      <c r="K112" s="34">
        <f>SUM(Prestations!D106:AH106)</f>
        <v>0</v>
      </c>
      <c r="L112" s="34" t="b">
        <f t="shared" si="6"/>
        <v>0</v>
      </c>
    </row>
    <row r="113" spans="2:12" x14ac:dyDescent="0.25">
      <c r="B113" s="107" t="str">
        <f>IF(ISBLANK(Prestations!B107),"",Prestations!B107)</f>
        <v/>
      </c>
      <c r="C113" s="162" t="str">
        <f>Prestations!C107</f>
        <v/>
      </c>
      <c r="D113" s="163"/>
      <c r="E113" s="108" t="str">
        <f>IF(L113,SUM(Prestations!D107:AH107),"")</f>
        <v/>
      </c>
      <c r="F113" s="115" t="str">
        <f t="shared" si="4"/>
        <v/>
      </c>
      <c r="G113" s="109" t="str">
        <f t="shared" si="5"/>
        <v/>
      </c>
      <c r="K113" s="34">
        <f>SUM(Prestations!D107:AH107)</f>
        <v>0</v>
      </c>
      <c r="L113" s="34" t="b">
        <f t="shared" si="6"/>
        <v>0</v>
      </c>
    </row>
    <row r="114" spans="2:12" x14ac:dyDescent="0.25">
      <c r="B114" s="107" t="str">
        <f>IF(ISBLANK(Prestations!B108),"",Prestations!B108)</f>
        <v/>
      </c>
      <c r="C114" s="162" t="str">
        <f>Prestations!C108</f>
        <v/>
      </c>
      <c r="D114" s="163"/>
      <c r="E114" s="108" t="str">
        <f>IF(L114,SUM(Prestations!D108:AH108),"")</f>
        <v/>
      </c>
      <c r="F114" s="115" t="str">
        <f t="shared" si="4"/>
        <v/>
      </c>
      <c r="G114" s="109" t="str">
        <f t="shared" si="5"/>
        <v/>
      </c>
      <c r="K114" s="34">
        <f>SUM(Prestations!D108:AH108)</f>
        <v>0</v>
      </c>
      <c r="L114" s="34" t="b">
        <f t="shared" si="6"/>
        <v>0</v>
      </c>
    </row>
    <row r="115" spans="2:12" x14ac:dyDescent="0.25">
      <c r="B115" s="107" t="str">
        <f>IF(ISBLANK(Prestations!B109),"",Prestations!B109)</f>
        <v/>
      </c>
      <c r="C115" s="162" t="str">
        <f>Prestations!C109</f>
        <v/>
      </c>
      <c r="D115" s="163"/>
      <c r="E115" s="108" t="str">
        <f>IF(L115,SUM(Prestations!D109:AH109),"")</f>
        <v/>
      </c>
      <c r="F115" s="115" t="str">
        <f t="shared" si="4"/>
        <v/>
      </c>
      <c r="G115" s="109" t="str">
        <f t="shared" si="5"/>
        <v/>
      </c>
      <c r="K115" s="34">
        <f>SUM(Prestations!D109:AH109)</f>
        <v>0</v>
      </c>
      <c r="L115" s="34" t="b">
        <f t="shared" si="6"/>
        <v>0</v>
      </c>
    </row>
    <row r="116" spans="2:12" x14ac:dyDescent="0.25">
      <c r="B116" s="107" t="str">
        <f>IF(ISBLANK(Prestations!B110),"",Prestations!B110)</f>
        <v/>
      </c>
      <c r="C116" s="162" t="str">
        <f>Prestations!C110</f>
        <v/>
      </c>
      <c r="D116" s="163"/>
      <c r="E116" s="108" t="str">
        <f>IF(L116,SUM(Prestations!D110:AH110),"")</f>
        <v/>
      </c>
      <c r="F116" s="115" t="str">
        <f t="shared" si="4"/>
        <v/>
      </c>
      <c r="G116" s="109" t="str">
        <f t="shared" si="5"/>
        <v/>
      </c>
      <c r="K116" s="34">
        <f>SUM(Prestations!D110:AH110)</f>
        <v>0</v>
      </c>
      <c r="L116" s="34" t="b">
        <f t="shared" si="6"/>
        <v>0</v>
      </c>
    </row>
    <row r="117" spans="2:12" x14ac:dyDescent="0.25">
      <c r="B117" s="107" t="str">
        <f>IF(ISBLANK(Prestations!B111),"",Prestations!B111)</f>
        <v/>
      </c>
      <c r="C117" s="162" t="str">
        <f>Prestations!C111</f>
        <v/>
      </c>
      <c r="D117" s="163"/>
      <c r="E117" s="108" t="str">
        <f>IF(L117,SUM(Prestations!D111:AH111),"")</f>
        <v/>
      </c>
      <c r="F117" s="115" t="str">
        <f t="shared" si="4"/>
        <v/>
      </c>
      <c r="G117" s="109" t="str">
        <f t="shared" si="5"/>
        <v/>
      </c>
      <c r="K117" s="34">
        <f>SUM(Prestations!D111:AH111)</f>
        <v>0</v>
      </c>
      <c r="L117" s="34" t="b">
        <f t="shared" si="6"/>
        <v>0</v>
      </c>
    </row>
    <row r="118" spans="2:12" x14ac:dyDescent="0.25">
      <c r="B118" s="107" t="str">
        <f>IF(ISBLANK(Prestations!B112),"",Prestations!B112)</f>
        <v/>
      </c>
      <c r="C118" s="162" t="str">
        <f>Prestations!C112</f>
        <v/>
      </c>
      <c r="D118" s="163"/>
      <c r="E118" s="108" t="str">
        <f>IF(L118,SUM(Prestations!D112:AH112),"")</f>
        <v/>
      </c>
      <c r="F118" s="115" t="str">
        <f t="shared" si="4"/>
        <v/>
      </c>
      <c r="G118" s="109" t="str">
        <f t="shared" si="5"/>
        <v/>
      </c>
      <c r="K118" s="34">
        <f>SUM(Prestations!D112:AH112)</f>
        <v>0</v>
      </c>
      <c r="L118" s="34" t="b">
        <f t="shared" si="6"/>
        <v>0</v>
      </c>
    </row>
    <row r="119" spans="2:12" x14ac:dyDescent="0.25">
      <c r="B119" s="107" t="str">
        <f>IF(ISBLANK(Prestations!B113),"",Prestations!B113)</f>
        <v/>
      </c>
      <c r="C119" s="162" t="str">
        <f>Prestations!C113</f>
        <v/>
      </c>
      <c r="D119" s="163"/>
      <c r="E119" s="108" t="str">
        <f>IF(L119,SUM(Prestations!D113:AH113),"")</f>
        <v/>
      </c>
      <c r="F119" s="115" t="str">
        <f t="shared" si="4"/>
        <v/>
      </c>
      <c r="G119" s="109" t="str">
        <f t="shared" si="5"/>
        <v/>
      </c>
      <c r="K119" s="34">
        <f>SUM(Prestations!D113:AH113)</f>
        <v>0</v>
      </c>
      <c r="L119" s="34" t="b">
        <f t="shared" si="6"/>
        <v>0</v>
      </c>
    </row>
    <row r="120" spans="2:12" x14ac:dyDescent="0.25">
      <c r="B120" s="107" t="str">
        <f>IF(ISBLANK(Prestations!B114),"",Prestations!B114)</f>
        <v/>
      </c>
      <c r="C120" s="162" t="str">
        <f>Prestations!C114</f>
        <v/>
      </c>
      <c r="D120" s="163"/>
      <c r="E120" s="108" t="str">
        <f>IF(L120,SUM(Prestations!D114:AH114),"")</f>
        <v/>
      </c>
      <c r="F120" s="115" t="str">
        <f t="shared" si="4"/>
        <v/>
      </c>
      <c r="G120" s="109" t="str">
        <f t="shared" si="5"/>
        <v/>
      </c>
      <c r="K120" s="34">
        <f>SUM(Prestations!D114:AH114)</f>
        <v>0</v>
      </c>
      <c r="L120" s="34" t="b">
        <f t="shared" si="6"/>
        <v>0</v>
      </c>
    </row>
    <row r="121" spans="2:12" x14ac:dyDescent="0.25">
      <c r="B121" s="107" t="str">
        <f>IF(ISBLANK(Prestations!B115),"",Prestations!B115)</f>
        <v/>
      </c>
      <c r="C121" s="162" t="str">
        <f>Prestations!C115</f>
        <v/>
      </c>
      <c r="D121" s="163"/>
      <c r="E121" s="108" t="str">
        <f>IF(L121,SUM(Prestations!D115:AH115),"")</f>
        <v/>
      </c>
      <c r="F121" s="115" t="str">
        <f t="shared" si="4"/>
        <v/>
      </c>
      <c r="G121" s="109" t="str">
        <f t="shared" si="5"/>
        <v/>
      </c>
      <c r="K121" s="34">
        <f>SUM(Prestations!D115:AH115)</f>
        <v>0</v>
      </c>
      <c r="L121" s="34" t="b">
        <f t="shared" si="6"/>
        <v>0</v>
      </c>
    </row>
    <row r="122" spans="2:12" x14ac:dyDescent="0.25">
      <c r="B122" s="107" t="str">
        <f>IF(ISBLANK(Prestations!B116),"",Prestations!B116)</f>
        <v/>
      </c>
      <c r="C122" s="162" t="str">
        <f>Prestations!C116</f>
        <v/>
      </c>
      <c r="D122" s="163"/>
      <c r="E122" s="108" t="str">
        <f>IF(L122,SUM(Prestations!D116:AH116),"")</f>
        <v/>
      </c>
      <c r="F122" s="115" t="str">
        <f t="shared" si="4"/>
        <v/>
      </c>
      <c r="G122" s="109" t="str">
        <f t="shared" si="5"/>
        <v/>
      </c>
      <c r="K122" s="34">
        <f>SUM(Prestations!D116:AH116)</f>
        <v>0</v>
      </c>
      <c r="L122" s="34" t="b">
        <f t="shared" si="6"/>
        <v>0</v>
      </c>
    </row>
    <row r="123" spans="2:12" x14ac:dyDescent="0.25">
      <c r="B123" s="107" t="str">
        <f>IF(ISBLANK(Prestations!B117),"",Prestations!B117)</f>
        <v/>
      </c>
      <c r="C123" s="162" t="str">
        <f>Prestations!C117</f>
        <v/>
      </c>
      <c r="D123" s="163"/>
      <c r="E123" s="108" t="str">
        <f>IF(L123,SUM(Prestations!D117:AH117),"")</f>
        <v/>
      </c>
      <c r="F123" s="115" t="str">
        <f t="shared" si="4"/>
        <v/>
      </c>
      <c r="G123" s="109" t="str">
        <f t="shared" si="5"/>
        <v/>
      </c>
      <c r="K123" s="34">
        <f>SUM(Prestations!D117:AH117)</f>
        <v>0</v>
      </c>
      <c r="L123" s="34" t="b">
        <f t="shared" si="6"/>
        <v>0</v>
      </c>
    </row>
    <row r="124" spans="2:12" ht="15.75" thickBot="1" x14ac:dyDescent="0.3">
      <c r="B124" s="110" t="str">
        <f>IF(ISBLANK(Prestations!B118),"",Prestations!B118)</f>
        <v/>
      </c>
      <c r="C124" s="166" t="str">
        <f>Prestations!C118</f>
        <v/>
      </c>
      <c r="D124" s="167"/>
      <c r="E124" s="111" t="str">
        <f>IF(L124,SUM(Prestations!D118:AH118),"")</f>
        <v/>
      </c>
      <c r="F124" s="116" t="str">
        <f t="shared" si="4"/>
        <v/>
      </c>
      <c r="G124" s="112" t="str">
        <f t="shared" si="5"/>
        <v/>
      </c>
      <c r="K124" s="34">
        <f>SUM(Prestations!D118:AH118)</f>
        <v>0</v>
      </c>
      <c r="L124" s="34" t="b">
        <f t="shared" si="6"/>
        <v>0</v>
      </c>
    </row>
    <row r="125" spans="2:12" ht="15.75" thickBot="1" x14ac:dyDescent="0.3">
      <c r="B125" s="91"/>
      <c r="C125" s="132" t="s">
        <v>28</v>
      </c>
      <c r="D125" s="168"/>
      <c r="E125" s="75">
        <f>SUM(E12:E124)</f>
        <v>0</v>
      </c>
      <c r="F125" s="117" t="str">
        <f t="shared" si="4"/>
        <v/>
      </c>
    </row>
    <row r="126" spans="2:12" ht="16.5" thickBot="1" x14ac:dyDescent="0.3">
      <c r="B126" s="92"/>
      <c r="C126" s="169" t="str">
        <f>"Total à prendre en compte ("&amp;C6&amp;")"</f>
        <v>Total à prendre en compte (Externe)</v>
      </c>
      <c r="D126" s="170"/>
      <c r="E126" s="94">
        <f>SUM(E13:E124)+IF(AND($L$6,E12&lt;&gt;""),E12,0)</f>
        <v>0</v>
      </c>
      <c r="F126" s="118">
        <f>SUM(F13:F124)+IF(AND($L$6,F12&lt;&gt;""),F12,0)</f>
        <v>0</v>
      </c>
    </row>
    <row r="127" spans="2:12" x14ac:dyDescent="0.25"/>
    <row r="128" spans="2:12" ht="15" hidden="1" customHeight="1" x14ac:dyDescent="0.25"/>
    <row r="129" ht="15" hidden="1" customHeight="1" x14ac:dyDescent="0.25"/>
    <row r="130" ht="15" hidden="1" customHeight="1" x14ac:dyDescent="0.25"/>
    <row r="131" ht="15" hidden="1" customHeight="1" x14ac:dyDescent="0.25"/>
    <row r="132" ht="15" hidden="1" customHeight="1" x14ac:dyDescent="0.25"/>
    <row r="133" ht="15" hidden="1" customHeight="1" x14ac:dyDescent="0.25"/>
    <row r="140" x14ac:dyDescent="0.25"/>
  </sheetData>
  <mergeCells count="116">
    <mergeCell ref="C86:D86"/>
    <mergeCell ref="C87:D87"/>
    <mergeCell ref="C93:D93"/>
    <mergeCell ref="C94:D94"/>
    <mergeCell ref="C88:D88"/>
    <mergeCell ref="C89:D89"/>
    <mergeCell ref="C90:D90"/>
    <mergeCell ref="C91:D91"/>
    <mergeCell ref="C92:D92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64:D64"/>
    <mergeCell ref="C65:D65"/>
    <mergeCell ref="C66:D66"/>
    <mergeCell ref="C67:D67"/>
    <mergeCell ref="C41:D41"/>
    <mergeCell ref="C42:D42"/>
    <mergeCell ref="C43:D43"/>
    <mergeCell ref="C59:D59"/>
    <mergeCell ref="C60:D60"/>
    <mergeCell ref="C61:D61"/>
    <mergeCell ref="C62:D62"/>
    <mergeCell ref="C63:D63"/>
    <mergeCell ref="C54:D54"/>
    <mergeCell ref="C55:D55"/>
    <mergeCell ref="C56:D56"/>
    <mergeCell ref="C57:D57"/>
    <mergeCell ref="C44:D44"/>
    <mergeCell ref="C45:D45"/>
    <mergeCell ref="C46:D46"/>
    <mergeCell ref="C47:D47"/>
    <mergeCell ref="C48:D48"/>
    <mergeCell ref="C58:D58"/>
    <mergeCell ref="C49:D49"/>
    <mergeCell ref="C50:D50"/>
    <mergeCell ref="C51:D51"/>
    <mergeCell ref="C52:D52"/>
    <mergeCell ref="C53:D53"/>
    <mergeCell ref="C124:D124"/>
    <mergeCell ref="C125:D125"/>
    <mergeCell ref="C126:D126"/>
    <mergeCell ref="C12:D12"/>
    <mergeCell ref="B2:G2"/>
    <mergeCell ref="C27:D27"/>
    <mergeCell ref="C28:D28"/>
    <mergeCell ref="C29:D29"/>
    <mergeCell ref="C30:D30"/>
    <mergeCell ref="C36:D36"/>
    <mergeCell ref="C39:D39"/>
    <mergeCell ref="C21:D21"/>
    <mergeCell ref="C22:D22"/>
    <mergeCell ref="C23:D23"/>
    <mergeCell ref="C24:D24"/>
    <mergeCell ref="C25:D25"/>
    <mergeCell ref="C37:D37"/>
    <mergeCell ref="C38:D38"/>
    <mergeCell ref="C40:D40"/>
    <mergeCell ref="C31:D31"/>
    <mergeCell ref="C32:D32"/>
    <mergeCell ref="C33:D33"/>
    <mergeCell ref="C34:D34"/>
    <mergeCell ref="C35:D35"/>
    <mergeCell ref="C13:D13"/>
    <mergeCell ref="C14:D14"/>
    <mergeCell ref="C26:D26"/>
    <mergeCell ref="C15:D15"/>
    <mergeCell ref="C16:D16"/>
    <mergeCell ref="C17:D17"/>
    <mergeCell ref="C18:D18"/>
    <mergeCell ref="C19:D19"/>
    <mergeCell ref="C20:D20"/>
    <mergeCell ref="C100:D100"/>
    <mergeCell ref="C101:D101"/>
    <mergeCell ref="C102:D102"/>
    <mergeCell ref="C103:D103"/>
    <mergeCell ref="C104:D104"/>
    <mergeCell ref="C95:D95"/>
    <mergeCell ref="C96:D96"/>
    <mergeCell ref="C97:D97"/>
    <mergeCell ref="C98:D98"/>
    <mergeCell ref="C99:D99"/>
    <mergeCell ref="C110:D110"/>
    <mergeCell ref="C111:D111"/>
    <mergeCell ref="C112:D112"/>
    <mergeCell ref="C113:D113"/>
    <mergeCell ref="C114:D114"/>
    <mergeCell ref="C105:D105"/>
    <mergeCell ref="C106:D106"/>
    <mergeCell ref="C107:D107"/>
    <mergeCell ref="C108:D108"/>
    <mergeCell ref="C109:D109"/>
    <mergeCell ref="C120:D120"/>
    <mergeCell ref="C121:D121"/>
    <mergeCell ref="C122:D122"/>
    <mergeCell ref="C123:D123"/>
    <mergeCell ref="C115:D115"/>
    <mergeCell ref="C116:D116"/>
    <mergeCell ref="C117:D117"/>
    <mergeCell ref="C118:D118"/>
    <mergeCell ref="C119:D119"/>
  </mergeCells>
  <conditionalFormatting sqref="F12:F126">
    <cfRule type="expression" dxfId="0" priority="1">
      <formula>MOD(F12,1)=0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4DC6D-2EDA-461C-BEAD-DF4D797DB69C}">
  <dimension ref="A1:C55"/>
  <sheetViews>
    <sheetView workbookViewId="0">
      <selection activeCell="B59" sqref="B59"/>
    </sheetView>
  </sheetViews>
  <sheetFormatPr defaultColWidth="9.140625" defaultRowHeight="15" x14ac:dyDescent="0.25"/>
  <cols>
    <col min="1" max="1" width="20.140625" customWidth="1"/>
    <col min="2" max="2" width="54.28515625" bestFit="1" customWidth="1"/>
    <col min="3" max="3" width="93.7109375" customWidth="1"/>
  </cols>
  <sheetData>
    <row r="1" spans="1:3" ht="23.25" x14ac:dyDescent="0.35">
      <c r="A1" s="4" t="s">
        <v>51</v>
      </c>
      <c r="B1" s="4" t="s">
        <v>20</v>
      </c>
    </row>
    <row r="2" spans="1:3" x14ac:dyDescent="0.25">
      <c r="A2" s="98" t="s">
        <v>52</v>
      </c>
      <c r="B2" s="98" t="s">
        <v>53</v>
      </c>
      <c r="C2" s="98" t="s">
        <v>54</v>
      </c>
    </row>
    <row r="3" spans="1:3" x14ac:dyDescent="0.25">
      <c r="A3" s="119" t="s">
        <v>55</v>
      </c>
      <c r="B3" s="119" t="s">
        <v>56</v>
      </c>
    </row>
    <row r="4" spans="1:3" x14ac:dyDescent="0.25">
      <c r="A4" s="119" t="s">
        <v>57</v>
      </c>
      <c r="B4" s="119" t="s">
        <v>58</v>
      </c>
    </row>
    <row r="5" spans="1:3" hidden="1" x14ac:dyDescent="0.25">
      <c r="A5" s="120" t="s">
        <v>59</v>
      </c>
      <c r="B5" s="120" t="s">
        <v>60</v>
      </c>
    </row>
    <row r="6" spans="1:3" x14ac:dyDescent="0.25">
      <c r="A6" s="119" t="s">
        <v>61</v>
      </c>
      <c r="B6" s="119" t="s">
        <v>62</v>
      </c>
    </row>
    <row r="7" spans="1:3" x14ac:dyDescent="0.25">
      <c r="A7" s="119" t="s">
        <v>63</v>
      </c>
      <c r="B7" s="119" t="s">
        <v>64</v>
      </c>
    </row>
    <row r="8" spans="1:3" x14ac:dyDescent="0.25">
      <c r="A8" s="119" t="s">
        <v>65</v>
      </c>
      <c r="B8" s="119" t="s">
        <v>66</v>
      </c>
    </row>
    <row r="9" spans="1:3" hidden="1" x14ac:dyDescent="0.25">
      <c r="A9" s="120" t="s">
        <v>67</v>
      </c>
      <c r="B9" s="120" t="s">
        <v>68</v>
      </c>
    </row>
    <row r="10" spans="1:3" x14ac:dyDescent="0.25">
      <c r="A10" s="119" t="s">
        <v>69</v>
      </c>
      <c r="B10" s="119" t="s">
        <v>70</v>
      </c>
    </row>
    <row r="11" spans="1:3" x14ac:dyDescent="0.25">
      <c r="A11" s="119" t="s">
        <v>71</v>
      </c>
      <c r="B11" s="119" t="s">
        <v>72</v>
      </c>
    </row>
    <row r="12" spans="1:3" x14ac:dyDescent="0.25">
      <c r="A12" s="119" t="s">
        <v>73</v>
      </c>
      <c r="B12" s="119" t="s">
        <v>74</v>
      </c>
    </row>
    <row r="13" spans="1:3" x14ac:dyDescent="0.25">
      <c r="A13" s="119" t="s">
        <v>75</v>
      </c>
      <c r="B13" s="119" t="s">
        <v>76</v>
      </c>
    </row>
    <row r="14" spans="1:3" x14ac:dyDescent="0.25">
      <c r="A14" s="119" t="s">
        <v>77</v>
      </c>
      <c r="B14" s="119" t="s">
        <v>78</v>
      </c>
    </row>
    <row r="15" spans="1:3" x14ac:dyDescent="0.25">
      <c r="A15" s="119" t="s">
        <v>79</v>
      </c>
      <c r="B15" s="119" t="s">
        <v>80</v>
      </c>
    </row>
    <row r="16" spans="1:3" x14ac:dyDescent="0.25">
      <c r="A16" s="119" t="s">
        <v>81</v>
      </c>
      <c r="B16" s="119" t="s">
        <v>82</v>
      </c>
    </row>
    <row r="17" spans="1:2" x14ac:dyDescent="0.25">
      <c r="A17" s="119" t="s">
        <v>83</v>
      </c>
      <c r="B17" s="119" t="s">
        <v>150</v>
      </c>
    </row>
    <row r="18" spans="1:2" x14ac:dyDescent="0.25">
      <c r="A18" s="119" t="s">
        <v>84</v>
      </c>
      <c r="B18" s="119" t="s">
        <v>149</v>
      </c>
    </row>
    <row r="19" spans="1:2" x14ac:dyDescent="0.25">
      <c r="A19" s="119" t="s">
        <v>85</v>
      </c>
      <c r="B19" s="119" t="s">
        <v>86</v>
      </c>
    </row>
    <row r="20" spans="1:2" x14ac:dyDescent="0.25">
      <c r="A20" s="119" t="s">
        <v>87</v>
      </c>
      <c r="B20" s="119" t="s">
        <v>88</v>
      </c>
    </row>
    <row r="21" spans="1:2" x14ac:dyDescent="0.25">
      <c r="A21" s="119" t="s">
        <v>89</v>
      </c>
      <c r="B21" s="119" t="s">
        <v>154</v>
      </c>
    </row>
    <row r="22" spans="1:2" x14ac:dyDescent="0.25">
      <c r="A22" s="119" t="s">
        <v>90</v>
      </c>
      <c r="B22" s="119" t="s">
        <v>91</v>
      </c>
    </row>
    <row r="23" spans="1:2" x14ac:dyDescent="0.25">
      <c r="A23" s="119" t="s">
        <v>92</v>
      </c>
      <c r="B23" s="119" t="s">
        <v>93</v>
      </c>
    </row>
    <row r="24" spans="1:2" x14ac:dyDescent="0.25">
      <c r="A24" s="119" t="s">
        <v>94</v>
      </c>
      <c r="B24" s="119" t="s">
        <v>95</v>
      </c>
    </row>
    <row r="25" spans="1:2" x14ac:dyDescent="0.25">
      <c r="A25" s="119" t="s">
        <v>96</v>
      </c>
      <c r="B25" s="119" t="s">
        <v>97</v>
      </c>
    </row>
    <row r="26" spans="1:2" x14ac:dyDescent="0.25">
      <c r="A26" s="119" t="s">
        <v>98</v>
      </c>
      <c r="B26" s="119" t="s">
        <v>99</v>
      </c>
    </row>
    <row r="27" spans="1:2" x14ac:dyDescent="0.25">
      <c r="A27" s="119" t="s">
        <v>100</v>
      </c>
      <c r="B27" s="119" t="s">
        <v>101</v>
      </c>
    </row>
    <row r="28" spans="1:2" hidden="1" x14ac:dyDescent="0.25">
      <c r="A28" s="122" t="s">
        <v>102</v>
      </c>
      <c r="B28" s="122" t="s">
        <v>103</v>
      </c>
    </row>
    <row r="29" spans="1:2" x14ac:dyDescent="0.25">
      <c r="A29" s="119" t="s">
        <v>104</v>
      </c>
      <c r="B29" s="119" t="s">
        <v>105</v>
      </c>
    </row>
    <row r="30" spans="1:2" x14ac:dyDescent="0.25">
      <c r="A30" s="119" t="s">
        <v>106</v>
      </c>
      <c r="B30" s="119" t="s">
        <v>107</v>
      </c>
    </row>
    <row r="31" spans="1:2" x14ac:dyDescent="0.25">
      <c r="A31" s="119" t="s">
        <v>108</v>
      </c>
      <c r="B31" s="119" t="s">
        <v>109</v>
      </c>
    </row>
    <row r="32" spans="1:2" hidden="1" x14ac:dyDescent="0.25">
      <c r="A32" s="120" t="s">
        <v>110</v>
      </c>
      <c r="B32" s="120" t="s">
        <v>111</v>
      </c>
    </row>
    <row r="33" spans="1:2" hidden="1" x14ac:dyDescent="0.25">
      <c r="A33" s="120" t="s">
        <v>112</v>
      </c>
      <c r="B33" s="120" t="s">
        <v>113</v>
      </c>
    </row>
    <row r="34" spans="1:2" s="121" customFormat="1" hidden="1" x14ac:dyDescent="0.25">
      <c r="A34" s="120" t="s">
        <v>114</v>
      </c>
      <c r="B34" s="120" t="s">
        <v>115</v>
      </c>
    </row>
    <row r="35" spans="1:2" x14ac:dyDescent="0.25">
      <c r="A35" s="119" t="s">
        <v>116</v>
      </c>
      <c r="B35" s="119" t="s">
        <v>116</v>
      </c>
    </row>
    <row r="36" spans="1:2" x14ac:dyDescent="0.25">
      <c r="A36" s="119" t="s">
        <v>117</v>
      </c>
      <c r="B36" s="119" t="s">
        <v>118</v>
      </c>
    </row>
    <row r="37" spans="1:2" hidden="1" x14ac:dyDescent="0.25">
      <c r="A37" s="120" t="s">
        <v>119</v>
      </c>
      <c r="B37" s="120" t="s">
        <v>120</v>
      </c>
    </row>
    <row r="38" spans="1:2" hidden="1" x14ac:dyDescent="0.25">
      <c r="A38" s="120" t="s">
        <v>121</v>
      </c>
      <c r="B38" s="120" t="s">
        <v>122</v>
      </c>
    </row>
    <row r="39" spans="1:2" x14ac:dyDescent="0.25">
      <c r="A39" s="119" t="s">
        <v>123</v>
      </c>
      <c r="B39" s="119" t="s">
        <v>124</v>
      </c>
    </row>
    <row r="40" spans="1:2" hidden="1" x14ac:dyDescent="0.25">
      <c r="A40" s="120" t="s">
        <v>125</v>
      </c>
      <c r="B40" s="120" t="s">
        <v>126</v>
      </c>
    </row>
    <row r="41" spans="1:2" x14ac:dyDescent="0.25">
      <c r="A41" s="119" t="s">
        <v>127</v>
      </c>
      <c r="B41" s="119" t="s">
        <v>128</v>
      </c>
    </row>
    <row r="42" spans="1:2" x14ac:dyDescent="0.25">
      <c r="A42" s="119" t="s">
        <v>129</v>
      </c>
      <c r="B42" s="119" t="s">
        <v>130</v>
      </c>
    </row>
    <row r="43" spans="1:2" x14ac:dyDescent="0.25">
      <c r="A43" s="119" t="s">
        <v>131</v>
      </c>
      <c r="B43" s="119" t="s">
        <v>159</v>
      </c>
    </row>
    <row r="44" spans="1:2" x14ac:dyDescent="0.25">
      <c r="A44" s="119" t="s">
        <v>132</v>
      </c>
      <c r="B44" s="119" t="s">
        <v>133</v>
      </c>
    </row>
    <row r="45" spans="1:2" hidden="1" x14ac:dyDescent="0.25">
      <c r="A45" s="123" t="s">
        <v>134</v>
      </c>
      <c r="B45" s="123" t="s">
        <v>155</v>
      </c>
    </row>
    <row r="46" spans="1:2" x14ac:dyDescent="0.25">
      <c r="A46" s="119" t="s">
        <v>135</v>
      </c>
      <c r="B46" s="119" t="s">
        <v>136</v>
      </c>
    </row>
    <row r="47" spans="1:2" x14ac:dyDescent="0.25">
      <c r="A47" s="119" t="s">
        <v>137</v>
      </c>
      <c r="B47" s="119" t="s">
        <v>138</v>
      </c>
    </row>
    <row r="48" spans="1:2" hidden="1" x14ac:dyDescent="0.25">
      <c r="A48" s="120" t="s">
        <v>139</v>
      </c>
      <c r="B48" s="120" t="s">
        <v>140</v>
      </c>
    </row>
    <row r="49" spans="1:2" hidden="1" x14ac:dyDescent="0.25">
      <c r="A49" s="120" t="s">
        <v>141</v>
      </c>
      <c r="B49" s="120" t="s">
        <v>142</v>
      </c>
    </row>
    <row r="50" spans="1:2" x14ac:dyDescent="0.25">
      <c r="A50" s="119" t="s">
        <v>143</v>
      </c>
      <c r="B50" s="119" t="s">
        <v>144</v>
      </c>
    </row>
    <row r="51" spans="1:2" x14ac:dyDescent="0.25">
      <c r="A51" s="119" t="s">
        <v>145</v>
      </c>
      <c r="B51" s="119" t="s">
        <v>146</v>
      </c>
    </row>
    <row r="52" spans="1:2" x14ac:dyDescent="0.25">
      <c r="A52" s="119" t="s">
        <v>147</v>
      </c>
      <c r="B52" s="119" t="s">
        <v>148</v>
      </c>
    </row>
    <row r="53" spans="1:2" x14ac:dyDescent="0.25">
      <c r="A53" s="119" t="s">
        <v>156</v>
      </c>
      <c r="B53" s="119" t="s">
        <v>151</v>
      </c>
    </row>
    <row r="54" spans="1:2" x14ac:dyDescent="0.25">
      <c r="A54" s="119" t="s">
        <v>157</v>
      </c>
      <c r="B54" s="119" t="s">
        <v>152</v>
      </c>
    </row>
    <row r="55" spans="1:2" x14ac:dyDescent="0.25">
      <c r="A55" s="119" t="s">
        <v>158</v>
      </c>
      <c r="B55" s="119" t="s">
        <v>153</v>
      </c>
    </row>
  </sheetData>
  <sortState xmlns:xlrd2="http://schemas.microsoft.com/office/spreadsheetml/2017/richdata2" ref="A3:B48">
    <sortCondition ref="A3:A48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08D4C03FC42C45BBE2ADBDD824EFC0" ma:contentTypeVersion="6" ma:contentTypeDescription="Crée un document." ma:contentTypeScope="" ma:versionID="cfba5fd0854cdbabcab6d21b092fe2fe">
  <xsd:schema xmlns:xsd="http://www.w3.org/2001/XMLSchema" xmlns:xs="http://www.w3.org/2001/XMLSchema" xmlns:p="http://schemas.microsoft.com/office/2006/metadata/properties" xmlns:ns2="8f591286-7764-4e50-b23d-301cdbd57747" xmlns:ns3="da57b96b-6ddc-49f5-b0eb-116682813bea" targetNamespace="http://schemas.microsoft.com/office/2006/metadata/properties" ma:root="true" ma:fieldsID="a49260de3527cb3d25b090592fa664a3" ns2:_="" ns3:_="">
    <xsd:import namespace="8f591286-7764-4e50-b23d-301cdbd57747"/>
    <xsd:import namespace="da57b96b-6ddc-49f5-b0eb-116682813b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591286-7764-4e50-b23d-301cdbd577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57b96b-6ddc-49f5-b0eb-116682813be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32730E2-0FA4-48D2-96BD-308CD4F3468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CC739C-AFF3-49AC-B591-CFDB991CC6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591286-7764-4e50-b23d-301cdbd57747"/>
    <ds:schemaRef ds:uri="da57b96b-6ddc-49f5-b0eb-116682813b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677F5C1-D9F6-4847-A992-FC8EE88AA5D9}">
  <ds:schemaRefs>
    <ds:schemaRef ds:uri="http://purl.org/dc/terms/"/>
    <ds:schemaRef ds:uri="http://schemas.microsoft.com/office/2006/metadata/properties"/>
    <ds:schemaRef ds:uri="da57b96b-6ddc-49f5-b0eb-116682813bea"/>
    <ds:schemaRef ds:uri="8f591286-7764-4e50-b23d-301cdbd57747"/>
    <ds:schemaRef ds:uri="http://schemas.microsoft.com/office/2006/documentManagement/types"/>
    <ds:schemaRef ds:uri="http://www.w3.org/XML/1998/namespace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Configuration</vt:lpstr>
      <vt:lpstr>Prestations</vt:lpstr>
      <vt:lpstr>Résumé imprimable</vt:lpstr>
      <vt:lpstr>Reporting</vt:lpstr>
      <vt:lpstr>Codes projet</vt:lpstr>
      <vt:lpstr>'Résumé imprimable'!Print_Area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DEBOIS Eric</dc:creator>
  <cp:keywords/>
  <dc:description/>
  <cp:lastModifiedBy>DELCOIGNE Vincent</cp:lastModifiedBy>
  <cp:revision/>
  <dcterms:created xsi:type="dcterms:W3CDTF">2020-01-31T09:01:35Z</dcterms:created>
  <dcterms:modified xsi:type="dcterms:W3CDTF">2025-09-04T09:31:29Z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0x010100B508D4C03FC42C45BBE2ADBDD824EFC0</vt:lpwstr>
  </property>
</Properties>
</file>