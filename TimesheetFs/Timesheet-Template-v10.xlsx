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A99E397B-090B-4860-AE0D-44576CB3A6F7}" xr6:coauthVersionLast="47" xr6:coauthVersionMax="47" xr10:uidLastSave="{00000000-0000-0000-0000-000000000000}"/>
  <bookViews>
    <workbookView xWindow="-120" yWindow="-120" windowWidth="38640" windowHeight="21120" activeTab="1" xr2:uid="{FB794F17-9F1B-438B-B219-D10D95E788D4}"/>
  </bookViews>
  <sheets>
    <sheet name="Configuration" sheetId="5" r:id="rId1"/>
    <sheet name="Prestations" sheetId="1" r:id="rId2"/>
    <sheet name="Résumé imprimable" sheetId="3" r:id="rId3"/>
    <sheet name="Reporting" sheetId="4" r:id="rId4"/>
    <sheet name="Codes projet" sheetId="2" r:id="rId5"/>
  </sheets>
  <definedNames>
    <definedName name="_xlnm.Print_Area" localSheetId="2">'Résumé imprimable'!$B$2:$K$47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5" l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D52" i="1"/>
  <c r="E51" i="1" l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D51" i="1"/>
  <c r="K14" i="4" l="1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G20" i="4" s="1"/>
  <c r="K21" i="4"/>
  <c r="L21" i="4" s="1"/>
  <c r="K22" i="4"/>
  <c r="L22" i="4" s="1"/>
  <c r="K23" i="4"/>
  <c r="L23" i="4" s="1"/>
  <c r="K24" i="4"/>
  <c r="L24" i="4" s="1"/>
  <c r="F24" i="4" s="1"/>
  <c r="K25" i="4"/>
  <c r="L25" i="4" s="1"/>
  <c r="K26" i="4"/>
  <c r="L26" i="4" s="1"/>
  <c r="K27" i="4"/>
  <c r="L27" i="4" s="1"/>
  <c r="K28" i="4"/>
  <c r="L28" i="4" s="1"/>
  <c r="G28" i="4" s="1"/>
  <c r="K29" i="4"/>
  <c r="L29" i="4" s="1"/>
  <c r="K30" i="4"/>
  <c r="L30" i="4" s="1"/>
  <c r="K31" i="4"/>
  <c r="L31" i="4" s="1"/>
  <c r="K32" i="4"/>
  <c r="L32" i="4" s="1"/>
  <c r="F32" i="4" s="1"/>
  <c r="K33" i="4"/>
  <c r="L33" i="4" s="1"/>
  <c r="K34" i="4"/>
  <c r="L34" i="4" s="1"/>
  <c r="K35" i="4"/>
  <c r="L35" i="4" s="1"/>
  <c r="K36" i="4"/>
  <c r="L36" i="4" s="1"/>
  <c r="G36" i="4" s="1"/>
  <c r="K37" i="4"/>
  <c r="L37" i="4" s="1"/>
  <c r="K38" i="4"/>
  <c r="L38" i="4" s="1"/>
  <c r="K39" i="4"/>
  <c r="L39" i="4" s="1"/>
  <c r="K40" i="4"/>
  <c r="L40" i="4" s="1"/>
  <c r="F40" i="4" s="1"/>
  <c r="K41" i="4"/>
  <c r="L41" i="4" s="1"/>
  <c r="K13" i="4"/>
  <c r="L13" i="4" s="1"/>
  <c r="B38" i="4"/>
  <c r="B39" i="4"/>
  <c r="B40" i="4"/>
  <c r="B41" i="4"/>
  <c r="B37" i="4"/>
  <c r="B36" i="4"/>
  <c r="B35" i="4"/>
  <c r="B34" i="4"/>
  <c r="B33" i="4"/>
  <c r="B32" i="4"/>
  <c r="B31" i="4"/>
  <c r="C34" i="1"/>
  <c r="C40" i="4" s="1"/>
  <c r="C33" i="1"/>
  <c r="C39" i="4" s="1"/>
  <c r="C32" i="1"/>
  <c r="C38" i="4" s="1"/>
  <c r="C31" i="1"/>
  <c r="C37" i="4" s="1"/>
  <c r="C30" i="1"/>
  <c r="C36" i="4" s="1"/>
  <c r="C29" i="1"/>
  <c r="C35" i="4" s="1"/>
  <c r="C28" i="1"/>
  <c r="C34" i="4" s="1"/>
  <c r="C27" i="1"/>
  <c r="C33" i="4" s="1"/>
  <c r="C7" i="1"/>
  <c r="G41" i="4" l="1"/>
  <c r="F41" i="4"/>
  <c r="F25" i="4"/>
  <c r="G25" i="4"/>
  <c r="G33" i="4"/>
  <c r="F33" i="4"/>
  <c r="G17" i="4"/>
  <c r="F17" i="4"/>
  <c r="E29" i="4"/>
  <c r="F29" i="4"/>
  <c r="G29" i="4"/>
  <c r="G37" i="4"/>
  <c r="F37" i="4"/>
  <c r="E37" i="4"/>
  <c r="F21" i="4"/>
  <c r="E21" i="4"/>
  <c r="G21" i="4"/>
  <c r="F23" i="4"/>
  <c r="G23" i="4"/>
  <c r="E23" i="4"/>
  <c r="G27" i="4"/>
  <c r="E27" i="4"/>
  <c r="F27" i="4"/>
  <c r="F18" i="4"/>
  <c r="G18" i="4"/>
  <c r="E18" i="4"/>
  <c r="G39" i="4"/>
  <c r="E39" i="4"/>
  <c r="F39" i="4"/>
  <c r="G22" i="4"/>
  <c r="E22" i="4"/>
  <c r="F22" i="4"/>
  <c r="E15" i="4"/>
  <c r="G31" i="4"/>
  <c r="E31" i="4"/>
  <c r="F31" i="4"/>
  <c r="G30" i="4"/>
  <c r="E30" i="4"/>
  <c r="F30" i="4"/>
  <c r="E14" i="4"/>
  <c r="F34" i="4"/>
  <c r="E34" i="4"/>
  <c r="G34" i="4"/>
  <c r="G38" i="4"/>
  <c r="E38" i="4"/>
  <c r="F38" i="4"/>
  <c r="E26" i="4"/>
  <c r="F26" i="4" s="1"/>
  <c r="F35" i="4"/>
  <c r="E35" i="4"/>
  <c r="G35" i="4"/>
  <c r="E19" i="4"/>
  <c r="F19" i="4" s="1"/>
  <c r="E41" i="4"/>
  <c r="E33" i="4"/>
  <c r="E25" i="4"/>
  <c r="E17" i="4"/>
  <c r="E32" i="4"/>
  <c r="E16" i="4"/>
  <c r="F28" i="4"/>
  <c r="F20" i="4"/>
  <c r="G40" i="4"/>
  <c r="G24" i="4"/>
  <c r="E40" i="4"/>
  <c r="E24" i="4"/>
  <c r="F36" i="4"/>
  <c r="G32" i="4"/>
  <c r="E36" i="4"/>
  <c r="E28" i="4"/>
  <c r="E20" i="4"/>
  <c r="F16" i="4" l="1"/>
  <c r="F15" i="4"/>
  <c r="F14" i="4"/>
  <c r="C16" i="4" l="1"/>
  <c r="K12" i="4" l="1"/>
  <c r="L12" i="4" s="1"/>
  <c r="E13" i="4"/>
  <c r="C8" i="4"/>
  <c r="C7" i="4"/>
  <c r="C5" i="4"/>
  <c r="C4" i="4"/>
  <c r="C6" i="4"/>
  <c r="C43" i="4" s="1"/>
  <c r="B2" i="4"/>
  <c r="L6" i="4"/>
  <c r="E12" i="4" l="1"/>
  <c r="F12" i="4" s="1"/>
  <c r="F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3" i="4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D57" i="1"/>
  <c r="D56" i="1"/>
  <c r="D55" i="1"/>
  <c r="D54" i="1"/>
  <c r="C13" i="4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I4" i="3"/>
  <c r="D4" i="3"/>
  <c r="D3" i="3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H48" i="1" s="1"/>
  <c r="C8" i="1"/>
  <c r="C14" i="4" s="1"/>
  <c r="C9" i="1"/>
  <c r="C15" i="4" s="1"/>
  <c r="C11" i="1"/>
  <c r="C17" i="4" s="1"/>
  <c r="C12" i="1"/>
  <c r="C18" i="4" s="1"/>
  <c r="C13" i="1"/>
  <c r="C19" i="4" s="1"/>
  <c r="C14" i="1"/>
  <c r="C20" i="4" s="1"/>
  <c r="C15" i="1"/>
  <c r="C21" i="4" s="1"/>
  <c r="C16" i="1"/>
  <c r="C22" i="4" s="1"/>
  <c r="C17" i="1"/>
  <c r="C23" i="4" s="1"/>
  <c r="C18" i="1"/>
  <c r="C24" i="4" s="1"/>
  <c r="C19" i="1"/>
  <c r="C25" i="4" s="1"/>
  <c r="C20" i="1"/>
  <c r="C26" i="4" s="1"/>
  <c r="C21" i="1"/>
  <c r="C27" i="4" s="1"/>
  <c r="C22" i="1"/>
  <c r="C28" i="4" s="1"/>
  <c r="C23" i="1"/>
  <c r="C29" i="4" s="1"/>
  <c r="C24" i="1"/>
  <c r="C30" i="4" s="1"/>
  <c r="C25" i="1"/>
  <c r="C31" i="4" s="1"/>
  <c r="C26" i="1"/>
  <c r="C32" i="4" s="1"/>
  <c r="C35" i="1"/>
  <c r="C41" i="4" s="1"/>
  <c r="E43" i="4" l="1"/>
  <c r="G16" i="4" s="1"/>
  <c r="F43" i="4"/>
  <c r="E42" i="4"/>
  <c r="F42" i="4"/>
  <c r="O7" i="3" a="1"/>
  <c r="P7" i="3" s="1"/>
  <c r="D49" i="1"/>
  <c r="C35" i="3"/>
  <c r="C36" i="3" s="1"/>
  <c r="C37" i="3" s="1"/>
  <c r="AB49" i="1"/>
  <c r="T49" i="1"/>
  <c r="L49" i="1"/>
  <c r="AC49" i="1"/>
  <c r="U49" i="1"/>
  <c r="M49" i="1"/>
  <c r="E49" i="1"/>
  <c r="AA49" i="1"/>
  <c r="S49" i="1"/>
  <c r="K49" i="1"/>
  <c r="Z49" i="1"/>
  <c r="R49" i="1"/>
  <c r="J49" i="1"/>
  <c r="Y49" i="1"/>
  <c r="Q49" i="1"/>
  <c r="I49" i="1"/>
  <c r="X49" i="1"/>
  <c r="P49" i="1"/>
  <c r="H49" i="1"/>
  <c r="AE49" i="1"/>
  <c r="W49" i="1"/>
  <c r="O49" i="1"/>
  <c r="G49" i="1"/>
  <c r="AD49" i="1"/>
  <c r="V49" i="1"/>
  <c r="N49" i="1"/>
  <c r="F49" i="1"/>
  <c r="AF48" i="1"/>
  <c r="AG48" i="1"/>
  <c r="G19" i="4" l="1"/>
  <c r="G26" i="4"/>
  <c r="AB50" i="1"/>
  <c r="AB36" i="1" s="1"/>
  <c r="G50" i="1"/>
  <c r="G36" i="1" s="1"/>
  <c r="Q50" i="1"/>
  <c r="Q36" i="1" s="1"/>
  <c r="E50" i="1"/>
  <c r="E36" i="1" s="1"/>
  <c r="D50" i="1"/>
  <c r="D36" i="1" s="1"/>
  <c r="V50" i="1"/>
  <c r="V36" i="1" s="1"/>
  <c r="AA50" i="1"/>
  <c r="AA36" i="1" s="1"/>
  <c r="O50" i="1"/>
  <c r="O36" i="1" s="1"/>
  <c r="Y50" i="1"/>
  <c r="Y36" i="1" s="1"/>
  <c r="M50" i="1"/>
  <c r="M36" i="1" s="1"/>
  <c r="W50" i="1"/>
  <c r="W36" i="1" s="1"/>
  <c r="J50" i="1"/>
  <c r="J36" i="1" s="1"/>
  <c r="U50" i="1"/>
  <c r="U36" i="1" s="1"/>
  <c r="AE50" i="1"/>
  <c r="AE36" i="1" s="1"/>
  <c r="R50" i="1"/>
  <c r="R36" i="1" s="1"/>
  <c r="AC50" i="1"/>
  <c r="AC36" i="1" s="1"/>
  <c r="X50" i="1"/>
  <c r="X36" i="1" s="1"/>
  <c r="I50" i="1"/>
  <c r="I36" i="1" s="1"/>
  <c r="H50" i="1"/>
  <c r="H36" i="1" s="1"/>
  <c r="Z50" i="1"/>
  <c r="Z36" i="1" s="1"/>
  <c r="L50" i="1"/>
  <c r="L36" i="1" s="1"/>
  <c r="S50" i="1"/>
  <c r="S36" i="1" s="1"/>
  <c r="AD50" i="1"/>
  <c r="AD36" i="1" s="1"/>
  <c r="F50" i="1"/>
  <c r="F36" i="1" s="1"/>
  <c r="N50" i="1"/>
  <c r="N36" i="1" s="1"/>
  <c r="P50" i="1"/>
  <c r="P36" i="1" s="1"/>
  <c r="K50" i="1"/>
  <c r="K36" i="1" s="1"/>
  <c r="T50" i="1"/>
  <c r="T36" i="1" s="1"/>
  <c r="G14" i="4"/>
  <c r="G15" i="4"/>
  <c r="G12" i="4"/>
  <c r="G13" i="4"/>
  <c r="P31" i="3"/>
  <c r="Q25" i="3"/>
  <c r="P20" i="3"/>
  <c r="P17" i="3"/>
  <c r="O18" i="3"/>
  <c r="Q11" i="3"/>
  <c r="R10" i="3"/>
  <c r="P22" i="3"/>
  <c r="R27" i="3"/>
  <c r="R34" i="3"/>
  <c r="Q29" i="3"/>
  <c r="R22" i="3"/>
  <c r="O17" i="3"/>
  <c r="P8" i="3"/>
  <c r="P24" i="3"/>
  <c r="Q10" i="3"/>
  <c r="Q26" i="3"/>
  <c r="O16" i="3"/>
  <c r="O32" i="3"/>
  <c r="P36" i="3"/>
  <c r="R23" i="3"/>
  <c r="R30" i="3"/>
  <c r="R21" i="3"/>
  <c r="O35" i="3"/>
  <c r="Q24" i="3"/>
  <c r="P35" i="3"/>
  <c r="R12" i="3"/>
  <c r="R25" i="3"/>
  <c r="P21" i="3"/>
  <c r="P37" i="3"/>
  <c r="R31" i="3"/>
  <c r="O22" i="3"/>
  <c r="R14" i="3"/>
  <c r="O11" i="3"/>
  <c r="Q15" i="3"/>
  <c r="Q31" i="3"/>
  <c r="R29" i="3"/>
  <c r="R28" i="3"/>
  <c r="O19" i="3"/>
  <c r="P10" i="3"/>
  <c r="P26" i="3"/>
  <c r="Q12" i="3"/>
  <c r="Q28" i="3"/>
  <c r="P15" i="3"/>
  <c r="R26" i="3"/>
  <c r="R15" i="3"/>
  <c r="Q22" i="3"/>
  <c r="P33" i="3"/>
  <c r="R8" i="3"/>
  <c r="Q27" i="3"/>
  <c r="O15" i="3"/>
  <c r="Q8" i="3"/>
  <c r="P19" i="3"/>
  <c r="O20" i="3"/>
  <c r="Q13" i="3"/>
  <c r="P23" i="3"/>
  <c r="R7" i="3"/>
  <c r="R35" i="3"/>
  <c r="O24" i="3"/>
  <c r="R16" i="3"/>
  <c r="O25" i="3"/>
  <c r="Q17" i="3"/>
  <c r="Q33" i="3"/>
  <c r="R33" i="3"/>
  <c r="R32" i="3"/>
  <c r="O21" i="3"/>
  <c r="P12" i="3"/>
  <c r="P28" i="3"/>
  <c r="Q14" i="3"/>
  <c r="Q30" i="3"/>
  <c r="O23" i="3"/>
  <c r="O36" i="3"/>
  <c r="O13" i="3"/>
  <c r="P25" i="3"/>
  <c r="O8" i="3"/>
  <c r="O28" i="3"/>
  <c r="O31" i="3"/>
  <c r="Q35" i="3"/>
  <c r="R37" i="3"/>
  <c r="P14" i="3"/>
  <c r="Q32" i="3"/>
  <c r="P11" i="3"/>
  <c r="P27" i="3"/>
  <c r="R13" i="3"/>
  <c r="O12" i="3"/>
  <c r="O30" i="3"/>
  <c r="R20" i="3"/>
  <c r="O37" i="3"/>
  <c r="Q21" i="3"/>
  <c r="Q37" i="3"/>
  <c r="O10" i="3"/>
  <c r="O7" i="3"/>
  <c r="O27" i="3"/>
  <c r="P16" i="3"/>
  <c r="P32" i="3"/>
  <c r="Q18" i="3"/>
  <c r="Q34" i="3"/>
  <c r="R19" i="3"/>
  <c r="Q9" i="3"/>
  <c r="O33" i="3"/>
  <c r="P9" i="3"/>
  <c r="R11" i="3"/>
  <c r="R18" i="3"/>
  <c r="Q19" i="3"/>
  <c r="R36" i="3"/>
  <c r="P30" i="3"/>
  <c r="Q16" i="3"/>
  <c r="P13" i="3"/>
  <c r="P29" i="3"/>
  <c r="R17" i="3"/>
  <c r="O14" i="3"/>
  <c r="O34" i="3"/>
  <c r="R24" i="3"/>
  <c r="Q7" i="3"/>
  <c r="Q23" i="3"/>
  <c r="R9" i="3"/>
  <c r="O26" i="3"/>
  <c r="O9" i="3"/>
  <c r="O29" i="3"/>
  <c r="P18" i="3"/>
  <c r="P34" i="3"/>
  <c r="Q20" i="3"/>
  <c r="Q36" i="3"/>
  <c r="AF2" i="1"/>
  <c r="AF49" i="1" s="1"/>
  <c r="AF50" i="1" l="1"/>
  <c r="AF36" i="1" s="1"/>
  <c r="S29" i="3"/>
  <c r="F29" i="3" s="1"/>
  <c r="S9" i="3"/>
  <c r="F9" i="3" s="1"/>
  <c r="S14" i="3"/>
  <c r="F14" i="3" s="1"/>
  <c r="S30" i="3"/>
  <c r="F30" i="3" s="1"/>
  <c r="S23" i="3"/>
  <c r="F23" i="3" s="1"/>
  <c r="S19" i="3"/>
  <c r="F19" i="3" s="1"/>
  <c r="S26" i="3"/>
  <c r="F26" i="3" s="1"/>
  <c r="S21" i="3"/>
  <c r="F21" i="3" s="1"/>
  <c r="S11" i="3"/>
  <c r="F11" i="3" s="1"/>
  <c r="S16" i="3"/>
  <c r="F16" i="3" s="1"/>
  <c r="S13" i="3"/>
  <c r="F13" i="3" s="1"/>
  <c r="S34" i="3"/>
  <c r="F34" i="3" s="1"/>
  <c r="S37" i="3"/>
  <c r="F37" i="3" s="1"/>
  <c r="S36" i="3"/>
  <c r="F36" i="3" s="1"/>
  <c r="S22" i="3"/>
  <c r="F22" i="3" s="1"/>
  <c r="S35" i="3"/>
  <c r="F35" i="3" s="1"/>
  <c r="S20" i="3"/>
  <c r="F20" i="3" s="1"/>
  <c r="S12" i="3"/>
  <c r="F12" i="3" s="1"/>
  <c r="S17" i="3"/>
  <c r="F17" i="3" s="1"/>
  <c r="S33" i="3"/>
  <c r="F33" i="3" s="1"/>
  <c r="S7" i="3"/>
  <c r="F7" i="3" s="1"/>
  <c r="S28" i="3"/>
  <c r="F28" i="3" s="1"/>
  <c r="S27" i="3"/>
  <c r="F27" i="3" s="1"/>
  <c r="S31" i="3"/>
  <c r="F31" i="3" s="1"/>
  <c r="S25" i="3"/>
  <c r="F25" i="3" s="1"/>
  <c r="S18" i="3"/>
  <c r="F18" i="3" s="1"/>
  <c r="S10" i="3"/>
  <c r="F10" i="3" s="1"/>
  <c r="S8" i="3"/>
  <c r="F8" i="3" s="1"/>
  <c r="S24" i="3"/>
  <c r="F24" i="3" s="1"/>
  <c r="S15" i="3"/>
  <c r="F15" i="3" s="1"/>
  <c r="S32" i="3"/>
  <c r="F32" i="3" s="1"/>
  <c r="AG2" i="1"/>
  <c r="AG49" i="1" s="1"/>
  <c r="AG50" i="1" l="1"/>
  <c r="AG36" i="1" s="1"/>
  <c r="AH2" i="1"/>
  <c r="AH49" i="1" s="1"/>
  <c r="AH50" i="1" l="1"/>
  <c r="D7" i="3" l="1" a="1"/>
  <c r="D11" i="3" s="1"/>
  <c r="AH36" i="1"/>
  <c r="D34" i="3" l="1"/>
  <c r="D23" i="3"/>
  <c r="D27" i="3"/>
  <c r="D20" i="3"/>
  <c r="D25" i="3"/>
  <c r="D35" i="3"/>
  <c r="D9" i="3"/>
  <c r="D32" i="3"/>
  <c r="D15" i="3"/>
  <c r="D26" i="3"/>
  <c r="D21" i="3"/>
  <c r="D22" i="3"/>
  <c r="D28" i="3"/>
  <c r="D24" i="3"/>
  <c r="D16" i="3"/>
  <c r="D36" i="3"/>
  <c r="D12" i="3"/>
  <c r="D17" i="3"/>
  <c r="D19" i="3"/>
  <c r="D30" i="3"/>
  <c r="D14" i="3"/>
  <c r="D13" i="3"/>
  <c r="D33" i="3"/>
  <c r="D37" i="3"/>
  <c r="D18" i="3"/>
  <c r="D7" i="3"/>
  <c r="D29" i="3"/>
  <c r="D8" i="3"/>
  <c r="D10" i="3"/>
  <c r="D31" i="3"/>
  <c r="D40" i="3" l="1"/>
</calcChain>
</file>

<file path=xl/sharedStrings.xml><?xml version="1.0" encoding="utf-8"?>
<sst xmlns="http://schemas.openxmlformats.org/spreadsheetml/2006/main" count="163" uniqueCount="148">
  <si>
    <t>Code</t>
  </si>
  <si>
    <t>Intitulé</t>
  </si>
  <si>
    <t>Total</t>
  </si>
  <si>
    <t>Target</t>
  </si>
  <si>
    <t>Code
projet</t>
  </si>
  <si>
    <t>Jour existe</t>
  </si>
  <si>
    <t>Week day</t>
  </si>
  <si>
    <t>Congé</t>
  </si>
  <si>
    <t>Férié</t>
  </si>
  <si>
    <t>Consultant :</t>
  </si>
  <si>
    <t>Date</t>
  </si>
  <si>
    <t>Heures</t>
  </si>
  <si>
    <t>Commentaires</t>
  </si>
  <si>
    <t xml:space="preserve"> heures de prestations</t>
  </si>
  <si>
    <t>Remarques :</t>
  </si>
  <si>
    <t>Accord du client concernant les prestations</t>
  </si>
  <si>
    <t>(votre accord n'implique pas nécessairement la facturation)</t>
  </si>
  <si>
    <t>Date, nom et signature</t>
  </si>
  <si>
    <t>Marguerite Frébutte</t>
  </si>
  <si>
    <t>Timesheet</t>
  </si>
  <si>
    <t>Société</t>
  </si>
  <si>
    <t>Nom</t>
  </si>
  <si>
    <t>Prénom</t>
  </si>
  <si>
    <t>Mois</t>
  </si>
  <si>
    <t>Jour férié</t>
  </si>
  <si>
    <t>Temps partiel</t>
  </si>
  <si>
    <t>Société :</t>
  </si>
  <si>
    <t>AUTRE</t>
  </si>
  <si>
    <t>[Décrivez le projet]</t>
  </si>
  <si>
    <t>Absence</t>
  </si>
  <si>
    <t>Externe</t>
  </si>
  <si>
    <t>Interne</t>
  </si>
  <si>
    <t>Statut</t>
  </si>
  <si>
    <t>Jours</t>
  </si>
  <si>
    <t>Horaire</t>
  </si>
  <si>
    <t>%</t>
  </si>
  <si>
    <t>Congé ou fermeture</t>
  </si>
  <si>
    <t>Temps de travail (hebdomadaire)</t>
  </si>
  <si>
    <t>Temps de travail (par jour)</t>
  </si>
  <si>
    <t>Not Empty</t>
  </si>
  <si>
    <t xml:space="preserve"> </t>
  </si>
  <si>
    <t>2.C. Quand le total d'une journée correspond à votre horaire, l'en-tête de la colonne se met en vert)</t>
  </si>
  <si>
    <t>C032-01</t>
  </si>
  <si>
    <t>Dossier unique - CE</t>
  </si>
  <si>
    <t>C032-02</t>
  </si>
  <si>
    <t>Dossier unique - Employeur</t>
  </si>
  <si>
    <t>C032-03</t>
  </si>
  <si>
    <t>Dossier unique - Matching</t>
  </si>
  <si>
    <t>C032-04</t>
  </si>
  <si>
    <t>Dossier unique - Partenaires garants</t>
  </si>
  <si>
    <t>D221</t>
  </si>
  <si>
    <t>Nouvel accompagnement</t>
  </si>
  <si>
    <t>C107-01</t>
  </si>
  <si>
    <t>CRM</t>
  </si>
  <si>
    <t>C107-02</t>
  </si>
  <si>
    <t>MDM</t>
  </si>
  <si>
    <t>C099</t>
  </si>
  <si>
    <t>SIRH</t>
  </si>
  <si>
    <t>C106</t>
  </si>
  <si>
    <t>MAP</t>
  </si>
  <si>
    <t>C114</t>
  </si>
  <si>
    <t>MAPE</t>
  </si>
  <si>
    <t>INI024</t>
  </si>
  <si>
    <t>ICF</t>
  </si>
  <si>
    <t>C211</t>
  </si>
  <si>
    <t>RGPD</t>
  </si>
  <si>
    <t>Signature électronique</t>
  </si>
  <si>
    <t>PDA014</t>
  </si>
  <si>
    <t>IBIS</t>
  </si>
  <si>
    <t>Release IBIS</t>
  </si>
  <si>
    <t>C204</t>
  </si>
  <si>
    <t>ECOSOC</t>
  </si>
  <si>
    <t>D218</t>
  </si>
  <si>
    <t>Primo-arrivants</t>
  </si>
  <si>
    <t>C092</t>
  </si>
  <si>
    <t>Actiris.brussels</t>
  </si>
  <si>
    <t>D220</t>
  </si>
  <si>
    <t>PFE</t>
  </si>
  <si>
    <t>INI025</t>
  </si>
  <si>
    <t>C197</t>
  </si>
  <si>
    <t>Plan directeur de la décentralisation</t>
  </si>
  <si>
    <t>NE PAS DÉCRIRE LE PROJET ICI ! Il faut le décrire directement dans la feuille prestations.</t>
  </si>
  <si>
    <r>
      <t xml:space="preserve">1.C. Encodez votre horaire de travail hebdomadaire, le temps par jour est alors automatiquement calculé.
        (taper </t>
    </r>
    <r>
      <rPr>
        <sz val="11"/>
        <color rgb="FF00B0F0"/>
        <rFont val="Calibri"/>
        <family val="2"/>
        <scheme val="minor"/>
      </rPr>
      <t>[heures]:[minutes]</t>
    </r>
    <r>
      <rPr>
        <sz val="11"/>
        <color theme="1"/>
        <rFont val="Calibri"/>
        <family val="2"/>
        <scheme val="minor"/>
      </rPr>
      <t>)</t>
    </r>
  </si>
  <si>
    <r>
      <t xml:space="preserve">1.A. Sélectionnez le mois de la timesheet (taper </t>
    </r>
    <r>
      <rPr>
        <sz val="11"/>
        <color rgb="FF00B0F0"/>
        <rFont val="Calibri"/>
        <family val="2"/>
        <scheme val="minor"/>
      </rPr>
      <t>[mois]/[année]</t>
    </r>
    <r>
      <rPr>
        <sz val="11"/>
        <color theme="1"/>
        <rFont val="Calibri"/>
        <family val="2"/>
        <scheme val="minor"/>
      </rPr>
      <t>)</t>
    </r>
  </si>
  <si>
    <r>
      <t xml:space="preserve">2.B. Encodez vos prestations en heures (Taper </t>
    </r>
    <r>
      <rPr>
        <sz val="11"/>
        <color rgb="FF00B0F0"/>
        <rFont val="Calibri"/>
        <family val="2"/>
        <scheme val="minor"/>
      </rPr>
      <t>[heures]:[minutes]</t>
    </r>
    <r>
      <rPr>
        <sz val="11"/>
        <color theme="1"/>
        <rFont val="Calibri"/>
        <family val="2"/>
        <scheme val="minor"/>
      </rPr>
      <t>)</t>
    </r>
  </si>
  <si>
    <r>
      <t>1.B. Encodez vos données personnelles et votre statut (</t>
    </r>
    <r>
      <rPr>
        <sz val="11"/>
        <color rgb="FF00B0F0"/>
        <rFont val="Calibri"/>
        <family val="2"/>
        <scheme val="minor"/>
      </rPr>
      <t>interne</t>
    </r>
    <r>
      <rPr>
        <sz val="11"/>
        <color theme="1"/>
        <rFont val="Calibri"/>
        <family val="2"/>
        <scheme val="minor"/>
      </rPr>
      <t xml:space="preserve"> ou </t>
    </r>
    <r>
      <rPr>
        <sz val="11"/>
        <color rgb="FF00B0F0"/>
        <rFont val="Calibri"/>
        <family val="2"/>
        <scheme val="minor"/>
      </rPr>
      <t>externe</t>
    </r>
    <r>
      <rPr>
        <sz val="11"/>
        <color theme="1"/>
        <rFont val="Calibri"/>
        <family val="2"/>
        <scheme val="minor"/>
      </rPr>
      <t>), et votre société le cas échéant</t>
    </r>
  </si>
  <si>
    <r>
      <t>1. Onglet "</t>
    </r>
    <r>
      <rPr>
        <sz val="11"/>
        <color rgb="FF00B0F0"/>
        <rFont val="Calibri"/>
        <family val="2"/>
        <scheme val="minor"/>
      </rPr>
      <t>Configuration</t>
    </r>
    <r>
      <rPr>
        <sz val="11"/>
        <color theme="1"/>
        <rFont val="Calibri"/>
        <family val="2"/>
        <scheme val="minor"/>
      </rPr>
      <t>"</t>
    </r>
  </si>
  <si>
    <r>
      <t>2. Onglet "</t>
    </r>
    <r>
      <rPr>
        <sz val="11"/>
        <color rgb="FF00B0F0"/>
        <rFont val="Calibri"/>
        <family val="2"/>
        <scheme val="minor"/>
      </rPr>
      <t>Prestations</t>
    </r>
    <r>
      <rPr>
        <sz val="11"/>
        <color theme="1"/>
        <rFont val="Calibri"/>
        <family val="2"/>
        <scheme val="minor"/>
      </rPr>
      <t>"</t>
    </r>
  </si>
  <si>
    <r>
      <t>2.A. Ajoutez vos projets en sélectionnant leurs codes respectifs dans la colonne B (zone en bleu)
         Pour trouver les codes, consultez l'onglet "</t>
    </r>
    <r>
      <rPr>
        <sz val="11"/>
        <color rgb="FF00B0F0"/>
        <rFont val="Calibri"/>
        <family val="2"/>
        <scheme val="minor"/>
      </rPr>
      <t>Codes projet</t>
    </r>
    <r>
      <rPr>
        <sz val="11"/>
        <color theme="1"/>
        <rFont val="Calibri"/>
        <family val="2"/>
        <scheme val="minor"/>
      </rPr>
      <t>"
         Si votre projet n'existe pas dans la liste, utilisez le code "</t>
    </r>
    <r>
      <rPr>
        <sz val="11"/>
        <color rgb="FF00B0F0"/>
        <rFont val="Calibri"/>
        <family val="2"/>
        <scheme val="minor"/>
      </rPr>
      <t>AUTRE</t>
    </r>
    <r>
      <rPr>
        <sz val="11"/>
        <color theme="1"/>
        <rFont val="Calibri"/>
        <family val="2"/>
        <scheme val="minor"/>
      </rPr>
      <t>" et ajoutez une description adaptée</t>
    </r>
  </si>
  <si>
    <r>
      <t>Appliquer le format suivant au nom du fichier : "TS-[</t>
    </r>
    <r>
      <rPr>
        <sz val="11"/>
        <color rgb="FF00B0F0"/>
        <rFont val="Calibri"/>
        <family val="2"/>
        <scheme val="minor"/>
      </rPr>
      <t>année</t>
    </r>
    <r>
      <rPr>
        <sz val="11"/>
        <color theme="1"/>
        <rFont val="Calibri"/>
        <family val="2"/>
        <scheme val="minor"/>
      </rPr>
      <t>:yyyy]-[</t>
    </r>
    <r>
      <rPr>
        <sz val="11"/>
        <color rgb="FF00B0F0"/>
        <rFont val="Calibri"/>
        <family val="2"/>
        <scheme val="minor"/>
      </rPr>
      <t>mois</t>
    </r>
    <r>
      <rPr>
        <sz val="11"/>
        <color theme="1"/>
        <rFont val="Calibri"/>
        <family val="2"/>
        <scheme val="minor"/>
      </rPr>
      <t>:mm]-[</t>
    </r>
    <r>
      <rPr>
        <sz val="11"/>
        <color rgb="FF00B0F0"/>
        <rFont val="Calibri"/>
        <family val="2"/>
        <scheme val="minor"/>
      </rPr>
      <t>Nom</t>
    </r>
    <r>
      <rPr>
        <sz val="11"/>
        <color theme="1"/>
        <rFont val="Calibri"/>
        <family val="2"/>
        <scheme val="minor"/>
      </rPr>
      <t>]-[</t>
    </r>
    <r>
      <rPr>
        <sz val="11"/>
        <color rgb="FF00B0F0"/>
        <rFont val="Calibri"/>
        <family val="2"/>
        <scheme val="minor"/>
      </rPr>
      <t>Prenom</t>
    </r>
    <r>
      <rPr>
        <sz val="11"/>
        <color theme="1"/>
        <rFont val="Calibri"/>
        <family val="2"/>
        <scheme val="minor"/>
      </rPr>
      <t>].xlsx"
Ex : TS-2020-01-Smith-John.xlsx</t>
    </r>
  </si>
  <si>
    <t>3. Enregistrement</t>
  </si>
  <si>
    <t>Autre absence</t>
  </si>
  <si>
    <t>Absences</t>
  </si>
  <si>
    <t>Total (hors absences)</t>
  </si>
  <si>
    <t>C032-05</t>
  </si>
  <si>
    <t>Dossier unique - Security</t>
  </si>
  <si>
    <t>BI</t>
  </si>
  <si>
    <t>Reporting BO</t>
  </si>
  <si>
    <t>EURES</t>
  </si>
  <si>
    <t>CDM</t>
  </si>
  <si>
    <t>C008</t>
  </si>
  <si>
    <t>Dématérialisation des documents (Irisnext)</t>
  </si>
  <si>
    <t>TICK</t>
  </si>
  <si>
    <t>Ticketing</t>
  </si>
  <si>
    <t>ADMIN</t>
  </si>
  <si>
    <t>Administration</t>
  </si>
  <si>
    <t>ADMINBUD</t>
  </si>
  <si>
    <t>Estimation et suivi budgétaire</t>
  </si>
  <si>
    <t>ARCHMARQ</t>
  </si>
  <si>
    <t>244021 - Architecture des marques</t>
  </si>
  <si>
    <t>BCSS</t>
  </si>
  <si>
    <t>Traitement des flux</t>
  </si>
  <si>
    <t>BOHRXML</t>
  </si>
  <si>
    <t>Back Office HRXML</t>
  </si>
  <si>
    <t>Cité des métiers</t>
  </si>
  <si>
    <t>ESIRIUS</t>
  </si>
  <si>
    <t>EURES CV et OE</t>
  </si>
  <si>
    <t>FARI</t>
  </si>
  <si>
    <t>Fari</t>
  </si>
  <si>
    <t>FOE</t>
  </si>
  <si>
    <t>217918 - Focus opportunité emploi</t>
  </si>
  <si>
    <t>IMTB</t>
  </si>
  <si>
    <t>Information sur le marché du travail en RBC</t>
  </si>
  <si>
    <t>ITREG</t>
  </si>
  <si>
    <t>IT régional</t>
  </si>
  <si>
    <t>PDA011</t>
  </si>
  <si>
    <t>Automatisation des cartes Activa</t>
  </si>
  <si>
    <t>Plan de diversité</t>
  </si>
  <si>
    <t>BCLN</t>
  </si>
  <si>
    <t>Bilan de Compétences Linguistiques et Numériques / ELAO</t>
  </si>
  <si>
    <t>BOACC</t>
  </si>
  <si>
    <t>BOAccount</t>
  </si>
  <si>
    <t>C032-06</t>
  </si>
  <si>
    <t>DU – DISPO</t>
  </si>
  <si>
    <t>C032-07</t>
  </si>
  <si>
    <t>DU – PAI/accompagnement</t>
  </si>
  <si>
    <t>COMPETENT</t>
  </si>
  <si>
    <t>Competent 2.0</t>
  </si>
  <si>
    <t>DESIGN</t>
  </si>
  <si>
    <t>Design System</t>
  </si>
  <si>
    <t>HANDICAP</t>
  </si>
  <si>
    <t>Projet handicap</t>
  </si>
  <si>
    <t>OPTIMOFFRE</t>
  </si>
  <si>
    <t>Utilisation optimale des offres</t>
  </si>
  <si>
    <t>Delcoigne</t>
  </si>
  <si>
    <t>Vincent</t>
  </si>
  <si>
    <t>Wavenet</t>
  </si>
  <si>
    <t>OffresInsertion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</si>
</sst>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&quot; h &quot;mm;@"/>
    <numFmt numFmtId="165" formatCode="[hh]\ &quot;h&quot;\ mm"/>
    <numFmt numFmtId="166" formatCode="[$-80C]mmmm\ yyyy;@"/>
    <numFmt numFmtId="167" formatCode="mmmm\ yyyy"/>
    <numFmt numFmtId="168" formatCode="dd\/mm"/>
    <numFmt numFmtId="169" formatCode="&quot;test&quot;"/>
    <numFmt numFmtId="170" formatCode="0.00\ &quot;jour(s)&quot;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u/>
      <sz val="24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7" borderId="0"/>
  </cellStyleXfs>
  <cellXfs count="170">
    <xf numFmtId="0" fontId="0" fillId="0" borderId="0" xfId="0"/>
    <xf numFmtId="14" fontId="2" fillId="2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/>
    </xf>
    <xf numFmtId="0" fontId="3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2" borderId="1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2" fillId="2" borderId="9" xfId="0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6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wrapText="1"/>
    </xf>
    <xf numFmtId="0" fontId="7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9" fillId="2" borderId="10" xfId="0" applyFont="1" applyFill="1" applyBorder="1" applyAlignment="1">
      <alignment wrapText="1"/>
    </xf>
    <xf numFmtId="0" fontId="9" fillId="2" borderId="11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wrapText="1"/>
    </xf>
    <xf numFmtId="0" fontId="9" fillId="2" borderId="14" xfId="0" applyFont="1" applyFill="1" applyBorder="1" applyAlignment="1">
      <alignment wrapText="1"/>
    </xf>
    <xf numFmtId="0" fontId="2" fillId="2" borderId="17" xfId="0" applyFont="1" applyFill="1" applyBorder="1" applyAlignment="1">
      <alignment wrapText="1"/>
    </xf>
    <xf numFmtId="0" fontId="2" fillId="2" borderId="0" xfId="0" applyFont="1" applyFill="1" applyAlignment="1">
      <alignment vertical="center" wrapText="1"/>
    </xf>
    <xf numFmtId="0" fontId="8" fillId="2" borderId="10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wrapText="1"/>
    </xf>
    <xf numFmtId="0" fontId="0" fillId="2" borderId="0" xfId="0" applyFill="1"/>
    <xf numFmtId="168" fontId="2" fillId="2" borderId="20" xfId="0" applyNumberFormat="1" applyFont="1" applyFill="1" applyBorder="1" applyAlignment="1">
      <alignment horizontal="center" vertical="center" wrapText="1"/>
    </xf>
    <xf numFmtId="168" fontId="2" fillId="2" borderId="21" xfId="0" applyNumberFormat="1" applyFont="1" applyFill="1" applyBorder="1" applyAlignment="1">
      <alignment horizontal="center" vertical="center" wrapText="1"/>
    </xf>
    <xf numFmtId="168" fontId="2" fillId="2" borderId="22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23" xfId="0" applyFill="1" applyBorder="1"/>
    <xf numFmtId="0" fontId="1" fillId="2" borderId="24" xfId="0" applyFont="1" applyFill="1" applyBorder="1"/>
    <xf numFmtId="0" fontId="0" fillId="3" borderId="28" xfId="0" applyFill="1" applyBorder="1"/>
    <xf numFmtId="0" fontId="1" fillId="2" borderId="29" xfId="0" applyFont="1" applyFill="1" applyBorder="1"/>
    <xf numFmtId="0" fontId="0" fillId="3" borderId="33" xfId="0" applyFill="1" applyBorder="1"/>
    <xf numFmtId="0" fontId="1" fillId="2" borderId="34" xfId="0" applyFont="1" applyFill="1" applyBorder="1"/>
    <xf numFmtId="0" fontId="1" fillId="2" borderId="2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164" fontId="0" fillId="2" borderId="25" xfId="0" applyNumberFormat="1" applyFill="1" applyBorder="1" applyAlignment="1">
      <alignment horizontal="center" vertical="center"/>
    </xf>
    <xf numFmtId="164" fontId="0" fillId="2" borderId="26" xfId="0" applyNumberFormat="1" applyFill="1" applyBorder="1" applyAlignment="1">
      <alignment horizontal="center" vertical="center"/>
    </xf>
    <xf numFmtId="164" fontId="0" fillId="2" borderId="27" xfId="0" applyNumberFormat="1" applyFill="1" applyBorder="1" applyAlignment="1">
      <alignment horizontal="center" vertical="center"/>
    </xf>
    <xf numFmtId="164" fontId="0" fillId="2" borderId="30" xfId="0" applyNumberFormat="1" applyFill="1" applyBorder="1" applyAlignment="1">
      <alignment horizontal="center" vertical="center"/>
    </xf>
    <xf numFmtId="164" fontId="0" fillId="2" borderId="31" xfId="0" applyNumberFormat="1" applyFill="1" applyBorder="1" applyAlignment="1">
      <alignment horizontal="center" vertical="center"/>
    </xf>
    <xf numFmtId="164" fontId="0" fillId="2" borderId="32" xfId="0" applyNumberFormat="1" applyFill="1" applyBorder="1" applyAlignment="1">
      <alignment horizontal="center" vertical="center"/>
    </xf>
    <xf numFmtId="164" fontId="0" fillId="2" borderId="35" xfId="0" applyNumberFormat="1" applyFill="1" applyBorder="1" applyAlignment="1">
      <alignment horizontal="center" vertical="center"/>
    </xf>
    <xf numFmtId="164" fontId="0" fillId="2" borderId="36" xfId="0" applyNumberFormat="1" applyFill="1" applyBorder="1" applyAlignment="1">
      <alignment horizontal="center" vertical="center"/>
    </xf>
    <xf numFmtId="164" fontId="0" fillId="2" borderId="37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4" borderId="4" xfId="0" applyFill="1" applyBorder="1"/>
    <xf numFmtId="0" fontId="0" fillId="4" borderId="6" xfId="0" applyFill="1" applyBorder="1"/>
    <xf numFmtId="167" fontId="16" fillId="3" borderId="3" xfId="0" applyNumberFormat="1" applyFont="1" applyFill="1" applyBorder="1" applyAlignment="1">
      <alignment horizontal="left"/>
    </xf>
    <xf numFmtId="0" fontId="16" fillId="3" borderId="5" xfId="0" applyFont="1" applyFill="1" applyBorder="1"/>
    <xf numFmtId="165" fontId="16" fillId="3" borderId="39" xfId="0" applyNumberFormat="1" applyFont="1" applyFill="1" applyBorder="1" applyAlignment="1">
      <alignment horizontal="left"/>
    </xf>
    <xf numFmtId="164" fontId="16" fillId="5" borderId="7" xfId="0" applyNumberFormat="1" applyFont="1" applyFill="1" applyBorder="1" applyAlignment="1">
      <alignment horizontal="left" vertical="center"/>
    </xf>
    <xf numFmtId="164" fontId="0" fillId="2" borderId="0" xfId="0" applyNumberFormat="1" applyFill="1" applyAlignment="1">
      <alignment horizontal="center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wrapText="1"/>
    </xf>
    <xf numFmtId="0" fontId="13" fillId="2" borderId="0" xfId="0" applyFont="1" applyFill="1"/>
    <xf numFmtId="0" fontId="0" fillId="2" borderId="3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38" xfId="0" applyNumberFormat="1" applyFill="1" applyBorder="1"/>
    <xf numFmtId="165" fontId="0" fillId="2" borderId="6" xfId="0" applyNumberFormat="1" applyFill="1" applyBorder="1"/>
    <xf numFmtId="0" fontId="14" fillId="2" borderId="46" xfId="0" applyFont="1" applyFill="1" applyBorder="1" applyAlignment="1">
      <alignment horizontal="left"/>
    </xf>
    <xf numFmtId="0" fontId="16" fillId="2" borderId="47" xfId="0" applyFont="1" applyFill="1" applyBorder="1" applyAlignment="1">
      <alignment horizontal="left"/>
    </xf>
    <xf numFmtId="0" fontId="0" fillId="2" borderId="47" xfId="0" applyFill="1" applyBorder="1"/>
    <xf numFmtId="0" fontId="16" fillId="2" borderId="48" xfId="0" applyFont="1" applyFill="1" applyBorder="1"/>
    <xf numFmtId="0" fontId="14" fillId="2" borderId="44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16" fillId="2" borderId="49" xfId="0" applyFont="1" applyFill="1" applyBorder="1"/>
    <xf numFmtId="0" fontId="16" fillId="2" borderId="0" xfId="0" applyFont="1" applyFill="1"/>
    <xf numFmtId="164" fontId="16" fillId="2" borderId="49" xfId="0" applyNumberFormat="1" applyFont="1" applyFill="1" applyBorder="1" applyAlignment="1">
      <alignment vertical="center"/>
    </xf>
    <xf numFmtId="0" fontId="0" fillId="2" borderId="49" xfId="0" applyFill="1" applyBorder="1"/>
    <xf numFmtId="0" fontId="14" fillId="2" borderId="50" xfId="0" applyFont="1" applyFill="1" applyBorder="1" applyAlignment="1">
      <alignment horizontal="left"/>
    </xf>
    <xf numFmtId="164" fontId="16" fillId="2" borderId="51" xfId="0" applyNumberFormat="1" applyFont="1" applyFill="1" applyBorder="1" applyAlignment="1">
      <alignment horizontal="left" vertical="center"/>
    </xf>
    <xf numFmtId="0" fontId="0" fillId="2" borderId="51" xfId="0" applyFill="1" applyBorder="1"/>
    <xf numFmtId="0" fontId="0" fillId="2" borderId="52" xfId="0" applyFill="1" applyBorder="1"/>
    <xf numFmtId="0" fontId="0" fillId="2" borderId="7" xfId="0" applyFill="1" applyBorder="1"/>
    <xf numFmtId="0" fontId="0" fillId="2" borderId="3" xfId="0" applyFill="1" applyBorder="1"/>
    <xf numFmtId="0" fontId="13" fillId="2" borderId="5" xfId="0" applyFont="1" applyFill="1" applyBorder="1"/>
    <xf numFmtId="0" fontId="0" fillId="2" borderId="22" xfId="0" applyFill="1" applyBorder="1" applyAlignment="1">
      <alignment horizontal="center"/>
    </xf>
    <xf numFmtId="165" fontId="13" fillId="5" borderId="38" xfId="0" applyNumberFormat="1" applyFont="1" applyFill="1" applyBorder="1"/>
    <xf numFmtId="0" fontId="0" fillId="2" borderId="0" xfId="0" applyFill="1" applyAlignment="1">
      <alignment vertical="top"/>
    </xf>
    <xf numFmtId="0" fontId="0" fillId="4" borderId="4" xfId="0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6" borderId="0" xfId="0" applyFill="1"/>
    <xf numFmtId="0" fontId="0" fillId="4" borderId="4" xfId="0" applyFill="1" applyBorder="1" applyAlignment="1">
      <alignment horizontal="left"/>
    </xf>
    <xf numFmtId="0" fontId="13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top" wrapText="1"/>
    </xf>
    <xf numFmtId="169" fontId="16" fillId="3" borderId="3" xfId="0" applyNumberFormat="1" applyFont="1" applyFill="1" applyBorder="1"/>
    <xf numFmtId="10" fontId="1" fillId="2" borderId="1" xfId="0" applyNumberFormat="1" applyFont="1" applyFill="1" applyBorder="1"/>
    <xf numFmtId="0" fontId="1" fillId="2" borderId="55" xfId="0" applyFont="1" applyFill="1" applyBorder="1"/>
    <xf numFmtId="165" fontId="0" fillId="2" borderId="55" xfId="0" applyNumberFormat="1" applyFill="1" applyBorder="1"/>
    <xf numFmtId="10" fontId="1" fillId="2" borderId="59" xfId="0" applyNumberFormat="1" applyFont="1" applyFill="1" applyBorder="1"/>
    <xf numFmtId="0" fontId="1" fillId="2" borderId="60" xfId="0" applyFont="1" applyFill="1" applyBorder="1"/>
    <xf numFmtId="165" fontId="0" fillId="2" borderId="60" xfId="0" applyNumberFormat="1" applyFill="1" applyBorder="1"/>
    <xf numFmtId="10" fontId="1" fillId="2" borderId="64" xfId="0" applyNumberFormat="1" applyFont="1" applyFill="1" applyBorder="1"/>
    <xf numFmtId="0" fontId="1" fillId="2" borderId="65" xfId="0" applyFont="1" applyFill="1" applyBorder="1"/>
    <xf numFmtId="165" fontId="0" fillId="2" borderId="65" xfId="0" applyNumberFormat="1" applyFill="1" applyBorder="1"/>
    <xf numFmtId="10" fontId="1" fillId="2" borderId="69" xfId="0" applyNumberFormat="1" applyFont="1" applyFill="1" applyBorder="1"/>
    <xf numFmtId="0" fontId="18" fillId="0" borderId="0" xfId="0" applyFont="1"/>
    <xf numFmtId="170" fontId="0" fillId="5" borderId="22" xfId="0" applyNumberFormat="1" applyFill="1" applyBorder="1"/>
    <xf numFmtId="170" fontId="0" fillId="5" borderId="58" xfId="0" applyNumberFormat="1" applyFill="1" applyBorder="1"/>
    <xf numFmtId="170" fontId="0" fillId="5" borderId="63" xfId="0" applyNumberFormat="1" applyFill="1" applyBorder="1"/>
    <xf numFmtId="170" fontId="0" fillId="5" borderId="68" xfId="0" applyNumberFormat="1" applyFill="1" applyBorder="1"/>
    <xf numFmtId="170" fontId="0" fillId="2" borderId="53" xfId="0" applyNumberFormat="1" applyFill="1" applyBorder="1"/>
    <xf numFmtId="170" fontId="13" fillId="5" borderId="22" xfId="0" applyNumberFormat="1" applyFont="1" applyFill="1" applyBorder="1"/>
    <xf numFmtId="0" fontId="0" fillId="2" borderId="38" xfId="0" applyFill="1" applyBorder="1" applyAlignment="1">
      <alignment horizontal="left"/>
    </xf>
    <xf numFmtId="0" fontId="0" fillId="2" borderId="54" xfId="0" applyFill="1" applyBorder="1" applyAlignment="1">
      <alignment horizontal="left"/>
    </xf>
    <xf numFmtId="0" fontId="0" fillId="4" borderId="0" xfId="0" applyFill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0" xfId="0" applyFill="1" applyAlignment="1">
      <alignment horizontal="left"/>
    </xf>
    <xf numFmtId="0" fontId="0" fillId="4" borderId="5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40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40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/>
    </xf>
    <xf numFmtId="0" fontId="0" fillId="4" borderId="41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2" borderId="0" xfId="0" applyFill="1" applyAlignment="1">
      <alignment horizontal="left" vertical="top" wrapText="1"/>
    </xf>
    <xf numFmtId="0" fontId="7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165" fontId="2" fillId="2" borderId="42" xfId="0" applyNumberFormat="1" applyFont="1" applyFill="1" applyBorder="1" applyAlignment="1">
      <alignment horizontal="right" vertical="center" wrapText="1"/>
    </xf>
    <xf numFmtId="165" fontId="2" fillId="2" borderId="43" xfId="0" applyNumberFormat="1" applyFont="1" applyFill="1" applyBorder="1" applyAlignment="1">
      <alignment horizontal="right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8" fillId="2" borderId="19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wrapText="1"/>
    </xf>
    <xf numFmtId="0" fontId="2" fillId="2" borderId="19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166" fontId="5" fillId="2" borderId="9" xfId="0" applyNumberFormat="1" applyFont="1" applyFill="1" applyBorder="1" applyAlignment="1">
      <alignment horizontal="center" vertical="top" wrapText="1"/>
    </xf>
    <xf numFmtId="166" fontId="5" fillId="2" borderId="16" xfId="0" applyNumberFormat="1" applyFont="1" applyFill="1" applyBorder="1" applyAlignment="1">
      <alignment horizontal="center" vertical="top" wrapText="1"/>
    </xf>
    <xf numFmtId="0" fontId="12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11" fillId="2" borderId="9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wrapText="1"/>
    </xf>
    <xf numFmtId="0" fontId="0" fillId="2" borderId="61" xfId="0" applyFill="1" applyBorder="1" applyAlignment="1">
      <alignment horizontal="left"/>
    </xf>
    <xf numFmtId="0" fontId="0" fillId="2" borderId="62" xfId="0" applyFill="1" applyBorder="1" applyAlignment="1">
      <alignment horizontal="left"/>
    </xf>
    <xf numFmtId="0" fontId="0" fillId="2" borderId="66" xfId="0" applyFill="1" applyBorder="1" applyAlignment="1">
      <alignment horizontal="left"/>
    </xf>
    <xf numFmtId="0" fontId="0" fillId="2" borderId="67" xfId="0" applyFill="1" applyBorder="1" applyAlignment="1">
      <alignment horizontal="left"/>
    </xf>
    <xf numFmtId="0" fontId="0" fillId="2" borderId="39" xfId="0" applyFill="1" applyBorder="1" applyAlignment="1">
      <alignment horizontal="left"/>
    </xf>
    <xf numFmtId="0" fontId="13" fillId="2" borderId="38" xfId="0" applyFont="1" applyFill="1" applyBorder="1" applyAlignment="1">
      <alignment horizontal="left"/>
    </xf>
    <xf numFmtId="0" fontId="13" fillId="2" borderId="39" xfId="0" applyFont="1" applyFill="1" applyBorder="1" applyAlignment="1">
      <alignment horizontal="left"/>
    </xf>
    <xf numFmtId="167" fontId="15" fillId="2" borderId="42" xfId="0" applyNumberFormat="1" applyFont="1" applyFill="1" applyBorder="1" applyAlignment="1">
      <alignment horizontal="center"/>
    </xf>
    <xf numFmtId="167" fontId="15" fillId="2" borderId="45" xfId="0" applyNumberFormat="1" applyFont="1" applyFill="1" applyBorder="1" applyAlignment="1">
      <alignment horizontal="center"/>
    </xf>
    <xf numFmtId="167" fontId="15" fillId="2" borderId="43" xfId="0" applyNumberFormat="1" applyFont="1" applyFill="1" applyBorder="1" applyAlignment="1">
      <alignment horizontal="center"/>
    </xf>
    <xf numFmtId="0" fontId="0" fillId="2" borderId="56" xfId="0" applyFill="1" applyBorder="1" applyAlignment="1">
      <alignment horizontal="left"/>
    </xf>
    <xf numFmtId="0" fontId="0" fillId="2" borderId="57" xfId="0" applyFill="1" applyBorder="1" applyAlignment="1">
      <alignment horizontal="left"/>
    </xf>
  </cellXfs>
  <cellStyles count="2">
    <cellStyle name="ActionsPlanStyle_Good" xfId="1" xr:uid="{38E465A7-E960-4C07-8538-4910EBA680F3}"/>
    <cellStyle name="Normal" xfId="0" builtinId="0"/>
  </cellStyles>
  <dxfs count="8">
    <dxf>
      <numFmt numFmtId="171" formatCode="0\ \ &quot;jour(s)&quot;"/>
    </dxf>
    <dxf>
      <font>
        <color theme="0" tint="-0.499984740745262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ill>
        <patternFill>
          <bgColor rgb="FF66FF33"/>
        </patternFill>
      </fill>
    </dxf>
    <dxf>
      <fill>
        <patternFill>
          <bgColor rgb="FFFF5050"/>
        </patternFill>
      </fill>
    </dxf>
    <dxf>
      <numFmt numFmtId="172" formatCode="&quot;[heures]:[minutes]&quot;"/>
    </dxf>
    <dxf>
      <numFmt numFmtId="173" formatCode="&quot;[mois]/[année]&quot;"/>
    </dxf>
  </dxfs>
  <tableStyles count="0" defaultTableStyle="TableStyleMedium2" defaultPivotStyle="PivotStyleLight16"/>
  <colors>
    <mruColors>
      <color rgb="FFFF5050"/>
      <color rgb="FF66FF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66676</xdr:rowOff>
    </xdr:from>
    <xdr:to>
      <xdr:col>5</xdr:col>
      <xdr:colOff>123825</xdr:colOff>
      <xdr:row>2</xdr:row>
      <xdr:rowOff>368476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233E7E-581B-47E6-8171-9B49DFC68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57176"/>
          <a:ext cx="1552575" cy="76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C4EE-AC4C-4AAA-B056-D5CBC744E76C}">
  <dimension ref="A1:AL64"/>
  <sheetViews>
    <sheetView workbookViewId="0">
      <selection activeCell="D19" sqref="D19"/>
    </sheetView>
  </sheetViews>
  <sheetFormatPr defaultColWidth="0" defaultRowHeight="15" zeroHeight="1" x14ac:dyDescent="0.25"/>
  <cols>
    <col min="1" max="1" width="3" style="34" customWidth="1"/>
    <col min="2" max="2" width="3.42578125" customWidth="1"/>
    <col min="3" max="3" width="29.5703125" customWidth="1"/>
    <col min="4" max="4" width="65.85546875" customWidth="1"/>
    <col min="5" max="5" width="3.42578125" style="34" customWidth="1"/>
    <col min="6" max="38" width="0" hidden="1" customWidth="1"/>
    <col min="39" max="16384" width="9.140625" hidden="1"/>
  </cols>
  <sheetData>
    <row r="1" spans="1:34" s="34" customFormat="1" ht="15.75" thickBot="1" x14ac:dyDescent="0.3"/>
    <row r="2" spans="1:34" x14ac:dyDescent="0.25">
      <c r="B2" s="135" t="s">
        <v>86</v>
      </c>
      <c r="C2" s="136"/>
      <c r="D2" s="137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</row>
    <row r="3" spans="1:34" x14ac:dyDescent="0.25">
      <c r="B3" s="99"/>
      <c r="C3" s="124" t="s">
        <v>83</v>
      </c>
      <c r="D3" s="125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1:34" x14ac:dyDescent="0.25">
      <c r="B4" s="99"/>
      <c r="C4" s="124" t="s">
        <v>85</v>
      </c>
      <c r="D4" s="125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ht="32.25" customHeight="1" x14ac:dyDescent="0.25">
      <c r="B5" s="62"/>
      <c r="C5" s="122" t="s">
        <v>82</v>
      </c>
      <c r="D5" s="123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</row>
    <row r="6" spans="1:34" x14ac:dyDescent="0.25">
      <c r="B6" s="132" t="s">
        <v>87</v>
      </c>
      <c r="C6" s="124"/>
      <c r="D6" s="125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</row>
    <row r="7" spans="1:34" s="97" customFormat="1" ht="46.5" customHeight="1" x14ac:dyDescent="0.25">
      <c r="A7" s="95"/>
      <c r="B7" s="96"/>
      <c r="C7" s="122" t="s">
        <v>88</v>
      </c>
      <c r="D7" s="123"/>
      <c r="E7" s="95"/>
    </row>
    <row r="8" spans="1:34" x14ac:dyDescent="0.25">
      <c r="B8" s="99"/>
      <c r="C8" s="124" t="s">
        <v>84</v>
      </c>
      <c r="D8" s="12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</row>
    <row r="9" spans="1:34" x14ac:dyDescent="0.25">
      <c r="B9" s="62"/>
      <c r="C9" s="122" t="s">
        <v>41</v>
      </c>
      <c r="D9" s="123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spans="1:34" x14ac:dyDescent="0.25">
      <c r="B10" s="132" t="s">
        <v>90</v>
      </c>
      <c r="C10" s="124"/>
      <c r="D10" s="125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</row>
    <row r="11" spans="1:34" ht="31.5" customHeight="1" thickBot="1" x14ac:dyDescent="0.3">
      <c r="B11" s="63"/>
      <c r="C11" s="133" t="s">
        <v>89</v>
      </c>
      <c r="D11" s="134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</row>
    <row r="12" spans="1:34" s="34" customFormat="1" ht="15.75" thickBot="1" x14ac:dyDescent="0.3"/>
    <row r="13" spans="1:34" ht="19.5" thickBot="1" x14ac:dyDescent="0.35">
      <c r="B13" s="120" t="s">
        <v>23</v>
      </c>
      <c r="C13" s="121"/>
      <c r="D13" s="64">
        <v>0</v>
      </c>
    </row>
    <row r="14" spans="1:34" ht="18.75" x14ac:dyDescent="0.3">
      <c r="B14" s="126" t="s">
        <v>21</v>
      </c>
      <c r="C14" s="127"/>
      <c r="D14" s="102" t="s">
        <v>144</v>
      </c>
    </row>
    <row r="15" spans="1:34" ht="18.75" x14ac:dyDescent="0.3">
      <c r="B15" s="128" t="s">
        <v>22</v>
      </c>
      <c r="C15" s="129"/>
      <c r="D15" s="65" t="s">
        <v>145</v>
      </c>
    </row>
    <row r="16" spans="1:34" ht="18.75" x14ac:dyDescent="0.3">
      <c r="B16" s="128" t="s">
        <v>32</v>
      </c>
      <c r="C16" s="129"/>
      <c r="D16" s="65" t="s">
        <v>30</v>
      </c>
    </row>
    <row r="17" spans="2:4" ht="19.5" thickBot="1" x14ac:dyDescent="0.35">
      <c r="B17" s="130" t="s">
        <v>20</v>
      </c>
      <c r="C17" s="131"/>
      <c r="D17" s="65" t="s">
        <v>146</v>
      </c>
    </row>
    <row r="18" spans="2:4" ht="19.5" thickBot="1" x14ac:dyDescent="0.35">
      <c r="B18" s="120" t="s">
        <v>37</v>
      </c>
      <c r="C18" s="121"/>
      <c r="D18" s="66">
        <v>1.6666666666666667</v>
      </c>
    </row>
    <row r="19" spans="2:4" s="34" customFormat="1" ht="19.5" thickBot="1" x14ac:dyDescent="0.3">
      <c r="B19" s="120" t="s">
        <v>38</v>
      </c>
      <c r="C19" s="121"/>
      <c r="D19" s="67">
        <f>IF(D18=0,"",D18/5)</f>
        <v>0.33333333333333337</v>
      </c>
    </row>
    <row r="20" spans="2:4" s="34" customFormat="1" x14ac:dyDescent="0.25"/>
    <row r="21" spans="2:4" s="34" customFormat="1" hidden="1" x14ac:dyDescent="0.25"/>
    <row r="22" spans="2:4" s="34" customFormat="1" hidden="1" x14ac:dyDescent="0.25"/>
    <row r="23" spans="2:4" s="34" customFormat="1" hidden="1" x14ac:dyDescent="0.25"/>
    <row r="24" spans="2:4" s="34" customFormat="1" hidden="1" x14ac:dyDescent="0.25"/>
    <row r="25" spans="2:4" s="34" customFormat="1" hidden="1" x14ac:dyDescent="0.25"/>
    <row r="26" spans="2:4" s="34" customFormat="1" hidden="1" x14ac:dyDescent="0.25"/>
    <row r="27" spans="2:4" s="34" customFormat="1" hidden="1" x14ac:dyDescent="0.25"/>
    <row r="28" spans="2:4" s="34" customFormat="1" hidden="1" x14ac:dyDescent="0.25"/>
    <row r="29" spans="2:4" s="34" customFormat="1" hidden="1" x14ac:dyDescent="0.25"/>
    <row r="30" spans="2:4" s="34" customFormat="1" hidden="1" x14ac:dyDescent="0.25"/>
    <row r="31" spans="2:4" s="34" customFormat="1" hidden="1" x14ac:dyDescent="0.25"/>
    <row r="32" spans="2:4" s="34" customFormat="1" hidden="1" x14ac:dyDescent="0.25"/>
    <row r="33" spans="4:4" s="34" customFormat="1" hidden="1" x14ac:dyDescent="0.25"/>
    <row r="34" spans="4:4" s="34" customFormat="1" hidden="1" x14ac:dyDescent="0.25">
      <c r="D34" s="34" t="s">
        <v>31</v>
      </c>
    </row>
    <row r="35" spans="4:4" s="34" customFormat="1" hidden="1" x14ac:dyDescent="0.25">
      <c r="D35" s="34" t="s">
        <v>30</v>
      </c>
    </row>
    <row r="36" spans="4:4" s="34" customFormat="1" hidden="1" x14ac:dyDescent="0.25"/>
    <row r="37" spans="4:4" s="34" customFormat="1" hidden="1" x14ac:dyDescent="0.25"/>
    <row r="38" spans="4:4" s="34" customFormat="1" hidden="1" x14ac:dyDescent="0.25"/>
    <row r="39" spans="4:4" s="34" customFormat="1" hidden="1" x14ac:dyDescent="0.25"/>
    <row r="40" spans="4:4" s="34" customFormat="1" hidden="1" x14ac:dyDescent="0.25"/>
    <row r="41" spans="4:4" s="34" customFormat="1" hidden="1" x14ac:dyDescent="0.25"/>
    <row r="42" spans="4:4" s="34" customFormat="1" hidden="1" x14ac:dyDescent="0.25"/>
    <row r="43" spans="4:4" s="34" customFormat="1" hidden="1" x14ac:dyDescent="0.25"/>
    <row r="44" spans="4:4" s="34" customFormat="1" hidden="1" x14ac:dyDescent="0.25"/>
    <row r="45" spans="4:4" s="34" customFormat="1" hidden="1" x14ac:dyDescent="0.25"/>
    <row r="46" spans="4:4" s="34" customFormat="1" hidden="1" x14ac:dyDescent="0.25"/>
    <row r="47" spans="4:4" s="34" customFormat="1" hidden="1" x14ac:dyDescent="0.25"/>
    <row r="48" spans="4:4" s="34" customFormat="1" hidden="1" x14ac:dyDescent="0.25"/>
    <row r="49" s="34" customFormat="1" hidden="1" x14ac:dyDescent="0.25"/>
    <row r="50" s="34" customFormat="1" hidden="1" x14ac:dyDescent="0.25"/>
    <row r="51" s="34" customFormat="1" hidden="1" x14ac:dyDescent="0.25"/>
    <row r="52" s="34" customFormat="1" hidden="1" x14ac:dyDescent="0.25"/>
    <row r="53" s="34" customFormat="1" hidden="1" x14ac:dyDescent="0.25"/>
    <row r="54" s="34" customFormat="1" hidden="1" x14ac:dyDescent="0.25"/>
    <row r="55" s="34" customFormat="1" hidden="1" x14ac:dyDescent="0.25"/>
    <row r="56" s="34" customFormat="1" hidden="1" x14ac:dyDescent="0.25"/>
    <row r="57" s="34" customFormat="1" hidden="1" x14ac:dyDescent="0.25"/>
    <row r="58" s="34" customFormat="1" hidden="1" x14ac:dyDescent="0.25"/>
    <row r="59" s="34" customFormat="1" hidden="1" x14ac:dyDescent="0.25"/>
    <row r="60" s="34" customFormat="1" hidden="1" x14ac:dyDescent="0.25"/>
    <row r="61" s="34" customFormat="1" hidden="1" x14ac:dyDescent="0.25"/>
    <row r="62" s="34" customFormat="1" hidden="1" x14ac:dyDescent="0.25"/>
    <row r="63" s="34" customFormat="1" hidden="1" x14ac:dyDescent="0.25"/>
    <row r="64" s="34" customFormat="1" hidden="1" x14ac:dyDescent="0.25"/>
  </sheetData>
  <mergeCells count="17">
    <mergeCell ref="B2:D2"/>
    <mergeCell ref="C5:D5"/>
    <mergeCell ref="C9:D9"/>
    <mergeCell ref="B6:D6"/>
    <mergeCell ref="C3:D3"/>
    <mergeCell ref="C4:D4"/>
    <mergeCell ref="B18:C18"/>
    <mergeCell ref="B19:C19"/>
    <mergeCell ref="C7:D7"/>
    <mergeCell ref="C8:D8"/>
    <mergeCell ref="B13:C13"/>
    <mergeCell ref="B14:C14"/>
    <mergeCell ref="B15:C15"/>
    <mergeCell ref="B16:C16"/>
    <mergeCell ref="B17:C17"/>
    <mergeCell ref="B10:D10"/>
    <mergeCell ref="C11:D11"/>
  </mergeCells>
  <conditionalFormatting sqref="D13">
    <cfRule type="expression" dxfId="7" priority="2">
      <formula>D13=0</formula>
    </cfRule>
  </conditionalFormatting>
  <conditionalFormatting sqref="D18">
    <cfRule type="expression" dxfId="6" priority="1">
      <formula>D18=0</formula>
    </cfRule>
  </conditionalFormatting>
  <dataValidations count="1">
    <dataValidation type="list" allowBlank="1" showInputMessage="1" showErrorMessage="1" sqref="D16" xr:uid="{76B6E132-8E58-4568-8C90-C0C7EF26FD05}">
      <formula1>$D$34:$D$35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87C1-7D96-4BCF-AD52-481055EFB1E2}">
  <dimension ref="A1:AL57"/>
  <sheetViews>
    <sheetView tabSelected="1" workbookViewId="0">
      <pane xSplit="3" ySplit="2" topLeftCell="D3" activePane="bottomRight" state="frozen"/>
      <selection pane="topRight" activeCell="C1" sqref="C1"/>
      <selection pane="bottomLeft" activeCell="A5" sqref="A5"/>
      <selection pane="bottomRight" activeCell="C10" sqref="C10"/>
    </sheetView>
  </sheetViews>
  <sheetFormatPr defaultColWidth="0" defaultRowHeight="15" zeroHeight="1" x14ac:dyDescent="0.25"/>
  <cols>
    <col min="1" max="1" width="2.7109375" style="34" customWidth="1"/>
    <col min="2" max="2" width="11.42578125" bestFit="1" customWidth="1"/>
    <col min="3" max="3" width="36.28515625" customWidth="1"/>
    <col min="4" max="34" width="6.140625" style="59" customWidth="1"/>
    <col min="35" max="35" width="3.28515625" style="34" customWidth="1"/>
    <col min="36" max="38" width="0" style="34" hidden="1" customWidth="1"/>
    <col min="39" max="16384" width="9.140625" hidden="1"/>
  </cols>
  <sheetData>
    <row r="1" spans="2:35" s="34" customFormat="1" ht="15.75" thickBot="1" x14ac:dyDescent="0.3"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2:35" ht="30.75" thickBot="1" x14ac:dyDescent="0.3">
      <c r="B2" s="5" t="s">
        <v>4</v>
      </c>
      <c r="C2" s="6" t="s">
        <v>1</v>
      </c>
      <c r="D2" s="35">
        <f>Configuration!D13</f>
        <v>0</v>
      </c>
      <c r="E2" s="36">
        <f t="shared" ref="E2:AE2" si="0">D2+1</f>
        <v>1</v>
      </c>
      <c r="F2" s="36">
        <f t="shared" si="0"/>
        <v>2</v>
      </c>
      <c r="G2" s="36">
        <f t="shared" si="0"/>
        <v>3</v>
      </c>
      <c r="H2" s="36">
        <f t="shared" si="0"/>
        <v>4</v>
      </c>
      <c r="I2" s="36">
        <f t="shared" si="0"/>
        <v>5</v>
      </c>
      <c r="J2" s="36">
        <f t="shared" si="0"/>
        <v>6</v>
      </c>
      <c r="K2" s="36">
        <f t="shared" si="0"/>
        <v>7</v>
      </c>
      <c r="L2" s="36">
        <f t="shared" si="0"/>
        <v>8</v>
      </c>
      <c r="M2" s="36">
        <f t="shared" si="0"/>
        <v>9</v>
      </c>
      <c r="N2" s="36">
        <f t="shared" si="0"/>
        <v>10</v>
      </c>
      <c r="O2" s="36">
        <f t="shared" si="0"/>
        <v>11</v>
      </c>
      <c r="P2" s="36">
        <f t="shared" si="0"/>
        <v>12</v>
      </c>
      <c r="Q2" s="36">
        <f t="shared" si="0"/>
        <v>13</v>
      </c>
      <c r="R2" s="36">
        <f t="shared" si="0"/>
        <v>14</v>
      </c>
      <c r="S2" s="36">
        <f t="shared" si="0"/>
        <v>15</v>
      </c>
      <c r="T2" s="36">
        <f t="shared" si="0"/>
        <v>16</v>
      </c>
      <c r="U2" s="36">
        <f t="shared" si="0"/>
        <v>17</v>
      </c>
      <c r="V2" s="36">
        <f t="shared" si="0"/>
        <v>18</v>
      </c>
      <c r="W2" s="36">
        <f t="shared" si="0"/>
        <v>19</v>
      </c>
      <c r="X2" s="36">
        <f t="shared" si="0"/>
        <v>20</v>
      </c>
      <c r="Y2" s="36">
        <f t="shared" si="0"/>
        <v>21</v>
      </c>
      <c r="Z2" s="36">
        <f t="shared" si="0"/>
        <v>22</v>
      </c>
      <c r="AA2" s="36">
        <f t="shared" si="0"/>
        <v>23</v>
      </c>
      <c r="AB2" s="36">
        <f t="shared" si="0"/>
        <v>24</v>
      </c>
      <c r="AC2" s="36">
        <f t="shared" si="0"/>
        <v>25</v>
      </c>
      <c r="AD2" s="36">
        <f t="shared" si="0"/>
        <v>26</v>
      </c>
      <c r="AE2" s="36">
        <f t="shared" si="0"/>
        <v>27</v>
      </c>
      <c r="AF2" s="36">
        <f>IF(AF48,AE2+1,"")</f>
        <v>28</v>
      </c>
      <c r="AG2" s="36">
        <f>IF(AG48,AF2+1,"")</f>
        <v>29</v>
      </c>
      <c r="AH2" s="37">
        <f>IF(AH48,AG2+1,"")</f>
        <v>30</v>
      </c>
      <c r="AI2" s="2"/>
    </row>
    <row r="3" spans="2:35" x14ac:dyDescent="0.25">
      <c r="B3" s="38"/>
      <c r="C3" s="47" t="s">
        <v>24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2"/>
      <c r="AI3" s="2"/>
    </row>
    <row r="4" spans="2:35" x14ac:dyDescent="0.25">
      <c r="B4" s="39"/>
      <c r="C4" s="48" t="s">
        <v>36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5"/>
      <c r="AI4" s="2"/>
    </row>
    <row r="5" spans="2:35" x14ac:dyDescent="0.25">
      <c r="B5" s="39"/>
      <c r="C5" s="48" t="s">
        <v>25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5"/>
      <c r="AI5" s="2"/>
    </row>
    <row r="6" spans="2:35" ht="15.75" thickBot="1" x14ac:dyDescent="0.3">
      <c r="B6" s="40"/>
      <c r="C6" s="49" t="s">
        <v>91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8"/>
      <c r="AI6" s="2"/>
    </row>
    <row r="7" spans="2:35" x14ac:dyDescent="0.25">
      <c r="B7" s="41" t="s">
        <v>112</v>
      </c>
      <c r="C7" s="42" t="str">
        <f>IF(ISBLANK(B7),"",VLOOKUP(B7,'Codes projet'!$A$2:$B$801,2,FALSE))</f>
        <v>Back Office HRXML</v>
      </c>
      <c r="D7" s="50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2"/>
    </row>
    <row r="8" spans="2:35" x14ac:dyDescent="0.25">
      <c r="B8" s="43" t="s">
        <v>52</v>
      </c>
      <c r="C8" s="44" t="str">
        <f>IF(ISBLANK(B8),"",VLOOKUP(B8,'Codes projet'!$A$2:$B$801,2,FALSE))</f>
        <v>CRM</v>
      </c>
      <c r="D8" s="53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5"/>
    </row>
    <row r="9" spans="2:35" x14ac:dyDescent="0.25">
      <c r="B9" s="43" t="s">
        <v>44</v>
      </c>
      <c r="C9" s="44" t="str">
        <f>IF(ISBLANK(B9),"",VLOOKUP(B9,'Codes projet'!$A$2:$B$801,2,FALSE))</f>
        <v>Dossier unique - Employeur</v>
      </c>
      <c r="D9" s="53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5"/>
    </row>
    <row r="10" spans="2:35" x14ac:dyDescent="0.25">
      <c r="B10" s="43" t="s">
        <v>27</v>
      </c>
      <c r="C10" s="44" t="s">
        <v>147</v>
      </c>
      <c r="D10" s="53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5"/>
    </row>
    <row r="11" spans="2:35" x14ac:dyDescent="0.25">
      <c r="B11" s="43"/>
      <c r="C11" s="44" t="str">
        <f>IF(ISBLANK(B11),"",VLOOKUP(B11,'Codes projet'!$A$2:$B$801,2,FALSE))</f>
        <v/>
      </c>
      <c r="D11" s="53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5"/>
    </row>
    <row r="12" spans="2:35" x14ac:dyDescent="0.25">
      <c r="B12" s="43"/>
      <c r="C12" s="44" t="str">
        <f>IF(ISBLANK(B12),"",VLOOKUP(B12,'Codes projet'!$A$2:$B$801,2,FALSE))</f>
        <v/>
      </c>
      <c r="D12" s="53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5"/>
    </row>
    <row r="13" spans="2:35" x14ac:dyDescent="0.25">
      <c r="B13" s="43"/>
      <c r="C13" s="44" t="str">
        <f>IF(ISBLANK(B13),"",VLOOKUP(B13,'Codes projet'!$A$2:$B$801,2,FALSE))</f>
        <v/>
      </c>
      <c r="D13" s="53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5"/>
    </row>
    <row r="14" spans="2:35" x14ac:dyDescent="0.25">
      <c r="B14" s="43"/>
      <c r="C14" s="44" t="str">
        <f>IF(ISBLANK(B14),"",VLOOKUP(B14,'Codes projet'!$A$2:$B$801,2,FALSE))</f>
        <v/>
      </c>
      <c r="D14" s="53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5"/>
    </row>
    <row r="15" spans="2:35" x14ac:dyDescent="0.25">
      <c r="B15" s="43"/>
      <c r="C15" s="44" t="str">
        <f>IF(ISBLANK(B15),"",VLOOKUP(B15,'Codes projet'!$A$2:$B$801,2,FALSE))</f>
        <v/>
      </c>
      <c r="D15" s="53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5"/>
    </row>
    <row r="16" spans="2:35" x14ac:dyDescent="0.25">
      <c r="B16" s="43"/>
      <c r="C16" s="44" t="str">
        <f>IF(ISBLANK(B16),"",VLOOKUP(B16,'Codes projet'!$A$2:$B$801,2,FALSE))</f>
        <v/>
      </c>
      <c r="D16" s="53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5"/>
    </row>
    <row r="17" spans="2:34" x14ac:dyDescent="0.25">
      <c r="B17" s="43"/>
      <c r="C17" s="44" t="str">
        <f>IF(ISBLANK(B17),"",VLOOKUP(B17,'Codes projet'!$A$2:$B$801,2,FALSE))</f>
        <v/>
      </c>
      <c r="D17" s="53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5"/>
    </row>
    <row r="18" spans="2:34" x14ac:dyDescent="0.25">
      <c r="B18" s="43"/>
      <c r="C18" s="44" t="str">
        <f>IF(ISBLANK(B18),"",VLOOKUP(B18,'Codes projet'!$A$2:$B$801,2,FALSE))</f>
        <v/>
      </c>
      <c r="D18" s="53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5"/>
    </row>
    <row r="19" spans="2:34" x14ac:dyDescent="0.25">
      <c r="B19" s="43"/>
      <c r="C19" s="44" t="str">
        <f>IF(ISBLANK(B19),"",VLOOKUP(B19,'Codes projet'!$A$2:$B$801,2,FALSE))</f>
        <v/>
      </c>
      <c r="D19" s="53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5"/>
    </row>
    <row r="20" spans="2:34" x14ac:dyDescent="0.25">
      <c r="B20" s="43"/>
      <c r="C20" s="44" t="str">
        <f>IF(ISBLANK(B20),"",VLOOKUP(B20,'Codes projet'!$A$2:$B$801,2,FALSE))</f>
        <v/>
      </c>
      <c r="D20" s="53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5"/>
    </row>
    <row r="21" spans="2:34" x14ac:dyDescent="0.25">
      <c r="B21" s="43"/>
      <c r="C21" s="44" t="str">
        <f>IF(ISBLANK(B21),"",VLOOKUP(B21,'Codes projet'!$A$2:$B$801,2,FALSE))</f>
        <v/>
      </c>
      <c r="D21" s="53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5"/>
    </row>
    <row r="22" spans="2:34" x14ac:dyDescent="0.25">
      <c r="B22" s="43"/>
      <c r="C22" s="44" t="str">
        <f>IF(ISBLANK(B22),"",VLOOKUP(B22,'Codes projet'!$A$2:$B$801,2,FALSE))</f>
        <v/>
      </c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5"/>
    </row>
    <row r="23" spans="2:34" x14ac:dyDescent="0.25">
      <c r="B23" s="43"/>
      <c r="C23" s="44" t="str">
        <f>IF(ISBLANK(B23),"",VLOOKUP(B23,'Codes projet'!$A$2:$B$801,2,FALSE))</f>
        <v/>
      </c>
      <c r="D23" s="53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5"/>
    </row>
    <row r="24" spans="2:34" x14ac:dyDescent="0.25">
      <c r="B24" s="43"/>
      <c r="C24" s="44" t="str">
        <f>IF(ISBLANK(B24),"",VLOOKUP(B24,'Codes projet'!$A$2:$B$801,2,FALSE))</f>
        <v/>
      </c>
      <c r="D24" s="53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5"/>
    </row>
    <row r="25" spans="2:34" x14ac:dyDescent="0.25">
      <c r="B25" s="43"/>
      <c r="C25" s="44" t="str">
        <f>IF(ISBLANK(B25),"",VLOOKUP(B25,'Codes projet'!$A$2:$B$801,2,FALSE))</f>
        <v/>
      </c>
      <c r="D25" s="53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5"/>
    </row>
    <row r="26" spans="2:34" x14ac:dyDescent="0.25">
      <c r="B26" s="43"/>
      <c r="C26" s="44" t="str">
        <f>IF(ISBLANK(B26),"",VLOOKUP(B26,'Codes projet'!$A$2:$B$801,2,FALSE))</f>
        <v/>
      </c>
      <c r="D26" s="53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5"/>
    </row>
    <row r="27" spans="2:34" x14ac:dyDescent="0.25">
      <c r="B27" s="43"/>
      <c r="C27" s="44" t="str">
        <f>IF(ISBLANK(B27),"",VLOOKUP(B27,'Codes projet'!$A$2:$B$801,2,FALSE))</f>
        <v/>
      </c>
      <c r="D27" s="53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5"/>
    </row>
    <row r="28" spans="2:34" x14ac:dyDescent="0.25">
      <c r="B28" s="43"/>
      <c r="C28" s="44" t="str">
        <f>IF(ISBLANK(B28),"",VLOOKUP(B28,'Codes projet'!$A$2:$B$801,2,FALSE))</f>
        <v/>
      </c>
      <c r="D28" s="53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5"/>
    </row>
    <row r="29" spans="2:34" x14ac:dyDescent="0.25">
      <c r="B29" s="43"/>
      <c r="C29" s="44" t="str">
        <f>IF(ISBLANK(B29),"",VLOOKUP(B29,'Codes projet'!$A$2:$B$801,2,FALSE))</f>
        <v/>
      </c>
      <c r="D29" s="53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5"/>
    </row>
    <row r="30" spans="2:34" x14ac:dyDescent="0.25">
      <c r="B30" s="43"/>
      <c r="C30" s="44" t="str">
        <f>IF(ISBLANK(B30),"",VLOOKUP(B30,'Codes projet'!$A$2:$B$801,2,FALSE))</f>
        <v/>
      </c>
      <c r="D30" s="53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5"/>
    </row>
    <row r="31" spans="2:34" x14ac:dyDescent="0.25">
      <c r="B31" s="43"/>
      <c r="C31" s="44" t="str">
        <f>IF(ISBLANK(B31),"",VLOOKUP(B31,'Codes projet'!$A$2:$B$801,2,FALSE))</f>
        <v/>
      </c>
      <c r="D31" s="53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5"/>
    </row>
    <row r="32" spans="2:34" x14ac:dyDescent="0.25">
      <c r="B32" s="43"/>
      <c r="C32" s="44" t="str">
        <f>IF(ISBLANK(B32),"",VLOOKUP(B32,'Codes projet'!$A$2:$B$801,2,FALSE))</f>
        <v/>
      </c>
      <c r="D32" s="53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5"/>
    </row>
    <row r="33" spans="2:34" x14ac:dyDescent="0.25">
      <c r="B33" s="43"/>
      <c r="C33" s="44" t="str">
        <f>IF(ISBLANK(B33),"",VLOOKUP(B33,'Codes projet'!$A$2:$B$801,2,FALSE))</f>
        <v/>
      </c>
      <c r="D33" s="53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5"/>
    </row>
    <row r="34" spans="2:34" x14ac:dyDescent="0.25">
      <c r="B34" s="43"/>
      <c r="C34" s="44" t="str">
        <f>IF(ISBLANK(B34),"",VLOOKUP(B34,'Codes projet'!$A$2:$B$801,2,FALSE))</f>
        <v/>
      </c>
      <c r="D34" s="53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2:34" ht="15.75" thickBot="1" x14ac:dyDescent="0.3">
      <c r="B35" s="45"/>
      <c r="C35" s="46" t="str">
        <f>IF(ISBLANK(B35),"",VLOOKUP(B35,'Codes projet'!$A$2:$B$801,2,FALSE))</f>
        <v/>
      </c>
      <c r="D35" s="56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2:34" s="34" customFormat="1" x14ac:dyDescent="0.25">
      <c r="D36" s="60" t="str">
        <f>IF(D50&lt;&gt;D51,IF(D50&gt;D51,TEXT(D50-D51,"-HH::MM"),TEXT(D51-D50,"HH::MM")),"")</f>
        <v/>
      </c>
      <c r="E36" s="60" t="str">
        <f t="shared" ref="E36:AH36" si="1">IF(E50&lt;&gt;E51,IF(E50&gt;E51,TEXT(E50-E51,"-HH::MM"),TEXT(E51-E50,"HH::MM")),"")</f>
        <v/>
      </c>
      <c r="F36" s="60" t="str">
        <f t="shared" si="1"/>
        <v>-08:00</v>
      </c>
      <c r="G36" s="60" t="str">
        <f t="shared" si="1"/>
        <v>-08:00</v>
      </c>
      <c r="H36" s="60" t="str">
        <f t="shared" si="1"/>
        <v>-08:00</v>
      </c>
      <c r="I36" s="60" t="str">
        <f t="shared" si="1"/>
        <v>-08:00</v>
      </c>
      <c r="J36" s="60" t="str">
        <f t="shared" si="1"/>
        <v>-08:00</v>
      </c>
      <c r="K36" s="60" t="str">
        <f t="shared" si="1"/>
        <v/>
      </c>
      <c r="L36" s="60" t="str">
        <f t="shared" si="1"/>
        <v/>
      </c>
      <c r="M36" s="60" t="str">
        <f t="shared" si="1"/>
        <v>-08:00</v>
      </c>
      <c r="N36" s="60" t="str">
        <f t="shared" si="1"/>
        <v>-08:00</v>
      </c>
      <c r="O36" s="60" t="str">
        <f t="shared" si="1"/>
        <v>-08:00</v>
      </c>
      <c r="P36" s="60" t="str">
        <f t="shared" si="1"/>
        <v>-08:00</v>
      </c>
      <c r="Q36" s="60" t="str">
        <f t="shared" si="1"/>
        <v>-08:00</v>
      </c>
      <c r="R36" s="60" t="str">
        <f t="shared" si="1"/>
        <v/>
      </c>
      <c r="S36" s="60" t="str">
        <f t="shared" si="1"/>
        <v/>
      </c>
      <c r="T36" s="60" t="str">
        <f t="shared" si="1"/>
        <v>-08:00</v>
      </c>
      <c r="U36" s="60" t="str">
        <f t="shared" si="1"/>
        <v>-08:00</v>
      </c>
      <c r="V36" s="60" t="str">
        <f t="shared" si="1"/>
        <v>-08:00</v>
      </c>
      <c r="W36" s="60" t="str">
        <f t="shared" si="1"/>
        <v>-08:00</v>
      </c>
      <c r="X36" s="60" t="str">
        <f t="shared" si="1"/>
        <v>-08:00</v>
      </c>
      <c r="Y36" s="60" t="str">
        <f t="shared" si="1"/>
        <v/>
      </c>
      <c r="Z36" s="60" t="str">
        <f t="shared" si="1"/>
        <v/>
      </c>
      <c r="AA36" s="60" t="str">
        <f t="shared" si="1"/>
        <v>-08:00</v>
      </c>
      <c r="AB36" s="60" t="str">
        <f t="shared" si="1"/>
        <v>-08:00</v>
      </c>
      <c r="AC36" s="60" t="str">
        <f t="shared" si="1"/>
        <v>-08:00</v>
      </c>
      <c r="AD36" s="60" t="str">
        <f t="shared" si="1"/>
        <v>-08:00</v>
      </c>
      <c r="AE36" s="60" t="str">
        <f t="shared" si="1"/>
        <v>-08:00</v>
      </c>
      <c r="AF36" s="60" t="str">
        <f t="shared" si="1"/>
        <v/>
      </c>
      <c r="AG36" s="60" t="str">
        <f t="shared" si="1"/>
        <v/>
      </c>
      <c r="AH36" s="60" t="str">
        <f t="shared" si="1"/>
        <v>-08:00</v>
      </c>
    </row>
    <row r="37" spans="2:34" s="34" customFormat="1" ht="6" customHeight="1" x14ac:dyDescent="0.25"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spans="2:34" s="34" customFormat="1" hidden="1" x14ac:dyDescent="0.25"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</row>
    <row r="39" spans="2:34" s="34" customFormat="1" hidden="1" x14ac:dyDescent="0.25"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</row>
    <row r="40" spans="2:34" s="34" customFormat="1" hidden="1" x14ac:dyDescent="0.25"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spans="2:34" s="34" customFormat="1" hidden="1" x14ac:dyDescent="0.25"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</row>
    <row r="42" spans="2:34" s="34" customFormat="1" hidden="1" x14ac:dyDescent="0.25"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</row>
    <row r="43" spans="2:34" s="34" customFormat="1" hidden="1" x14ac:dyDescent="0.25"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</row>
    <row r="44" spans="2:34" s="34" customFormat="1" hidden="1" x14ac:dyDescent="0.25"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spans="2:34" s="34" customFormat="1" hidden="1" x14ac:dyDescent="0.25"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</row>
    <row r="48" spans="2:34" hidden="1" x14ac:dyDescent="0.25">
      <c r="C48" t="s">
        <v>5</v>
      </c>
      <c r="AF48" s="59" t="b">
        <f>MONTH(AE2+1)&amp;YEAR(AE2+1)=MONTH($D2)&amp;YEAR($D2)</f>
        <v>1</v>
      </c>
      <c r="AG48" s="59" t="b">
        <f>MONTH(AE2+2)&amp;YEAR(AE2+2)=MONTH($D2)&amp;YEAR($D2)</f>
        <v>1</v>
      </c>
      <c r="AH48" s="59" t="b">
        <f>MONTH(AE2+3)&amp;YEAR(AE2+3)=MONTH($D2)&amp;YEAR($D2)</f>
        <v>1</v>
      </c>
    </row>
    <row r="49" spans="2:34" hidden="1" x14ac:dyDescent="0.25">
      <c r="C49" t="s">
        <v>6</v>
      </c>
      <c r="D49" s="59" t="b">
        <f t="shared" ref="D49:AE49" si="2">NOT(OR(WEEKDAY(D2)=7,WEEKDAY(D2)=1))</f>
        <v>0</v>
      </c>
      <c r="E49" s="59" t="b">
        <f t="shared" si="2"/>
        <v>0</v>
      </c>
      <c r="F49" s="59" t="b">
        <f t="shared" si="2"/>
        <v>1</v>
      </c>
      <c r="G49" s="59" t="b">
        <f t="shared" si="2"/>
        <v>1</v>
      </c>
      <c r="H49" s="59" t="b">
        <f t="shared" si="2"/>
        <v>1</v>
      </c>
      <c r="I49" s="59" t="b">
        <f t="shared" si="2"/>
        <v>1</v>
      </c>
      <c r="J49" s="59" t="b">
        <f t="shared" si="2"/>
        <v>1</v>
      </c>
      <c r="K49" s="59" t="b">
        <f t="shared" si="2"/>
        <v>0</v>
      </c>
      <c r="L49" s="59" t="b">
        <f t="shared" si="2"/>
        <v>0</v>
      </c>
      <c r="M49" s="59" t="b">
        <f t="shared" si="2"/>
        <v>1</v>
      </c>
      <c r="N49" s="59" t="b">
        <f t="shared" si="2"/>
        <v>1</v>
      </c>
      <c r="O49" s="59" t="b">
        <f t="shared" si="2"/>
        <v>1</v>
      </c>
      <c r="P49" s="59" t="b">
        <f t="shared" si="2"/>
        <v>1</v>
      </c>
      <c r="Q49" s="59" t="b">
        <f t="shared" si="2"/>
        <v>1</v>
      </c>
      <c r="R49" s="59" t="b">
        <f t="shared" si="2"/>
        <v>0</v>
      </c>
      <c r="S49" s="59" t="b">
        <f t="shared" si="2"/>
        <v>0</v>
      </c>
      <c r="T49" s="59" t="b">
        <f t="shared" si="2"/>
        <v>1</v>
      </c>
      <c r="U49" s="59" t="b">
        <f t="shared" si="2"/>
        <v>1</v>
      </c>
      <c r="V49" s="59" t="b">
        <f t="shared" si="2"/>
        <v>1</v>
      </c>
      <c r="W49" s="59" t="b">
        <f t="shared" si="2"/>
        <v>1</v>
      </c>
      <c r="X49" s="59" t="b">
        <f t="shared" si="2"/>
        <v>1</v>
      </c>
      <c r="Y49" s="59" t="b">
        <f t="shared" si="2"/>
        <v>0</v>
      </c>
      <c r="Z49" s="59" t="b">
        <f t="shared" si="2"/>
        <v>0</v>
      </c>
      <c r="AA49" s="59" t="b">
        <f t="shared" si="2"/>
        <v>1</v>
      </c>
      <c r="AB49" s="59" t="b">
        <f t="shared" si="2"/>
        <v>1</v>
      </c>
      <c r="AC49" s="59" t="b">
        <f t="shared" si="2"/>
        <v>1</v>
      </c>
      <c r="AD49" s="59" t="b">
        <f t="shared" si="2"/>
        <v>1</v>
      </c>
      <c r="AE49" s="59" t="b">
        <f t="shared" si="2"/>
        <v>1</v>
      </c>
      <c r="AF49" s="59" t="b">
        <f>IF(AF48,NOT(OR(WEEKDAY(AF2)=7,WEEKDAY(AF2)=1)),FALSE)</f>
        <v>0</v>
      </c>
      <c r="AG49" s="59" t="b">
        <f t="shared" ref="AG49:AH49" si="3">IF(AG48,NOT(OR(WEEKDAY(AG2)=7,WEEKDAY(AG2)=1)),FALSE)</f>
        <v>0</v>
      </c>
      <c r="AH49" s="59" t="b">
        <f t="shared" si="3"/>
        <v>1</v>
      </c>
    </row>
    <row r="50" spans="2:34" s="34" customFormat="1" hidden="1" x14ac:dyDescent="0.25">
      <c r="B50" s="3"/>
      <c r="C50" s="34" t="s">
        <v>3</v>
      </c>
      <c r="D50" s="68">
        <f>IF(D49,Configuration!$D$19,0)</f>
        <v>0</v>
      </c>
      <c r="E50" s="68">
        <f>IF(E49,Configuration!$D$19,0)</f>
        <v>0</v>
      </c>
      <c r="F50" s="68">
        <f>IF(F49,Configuration!$D$19,0)</f>
        <v>0.33333333333333337</v>
      </c>
      <c r="G50" s="68">
        <f>IF(G49,Configuration!$D$19,0)</f>
        <v>0.33333333333333337</v>
      </c>
      <c r="H50" s="68">
        <f>IF(H49,Configuration!$D$19,0)</f>
        <v>0.33333333333333337</v>
      </c>
      <c r="I50" s="68">
        <f>IF(I49,Configuration!$D$19,0)</f>
        <v>0.33333333333333337</v>
      </c>
      <c r="J50" s="68">
        <f>IF(J49,Configuration!$D$19,0)</f>
        <v>0.33333333333333337</v>
      </c>
      <c r="K50" s="68">
        <f>IF(K49,Configuration!$D$19,0)</f>
        <v>0</v>
      </c>
      <c r="L50" s="68">
        <f>IF(L49,Configuration!$D$19,0)</f>
        <v>0</v>
      </c>
      <c r="M50" s="68">
        <f>IF(M49,Configuration!$D$19,0)</f>
        <v>0.33333333333333337</v>
      </c>
      <c r="N50" s="68">
        <f>IF(N49,Configuration!$D$19,0)</f>
        <v>0.33333333333333337</v>
      </c>
      <c r="O50" s="68">
        <f>IF(O49,Configuration!$D$19,0)</f>
        <v>0.33333333333333337</v>
      </c>
      <c r="P50" s="68">
        <f>IF(P49,Configuration!$D$19,0)</f>
        <v>0.33333333333333337</v>
      </c>
      <c r="Q50" s="68">
        <f>IF(Q49,Configuration!$D$19,0)</f>
        <v>0.33333333333333337</v>
      </c>
      <c r="R50" s="68">
        <f>IF(R49,Configuration!$D$19,0)</f>
        <v>0</v>
      </c>
      <c r="S50" s="68">
        <f>IF(S49,Configuration!$D$19,0)</f>
        <v>0</v>
      </c>
      <c r="T50" s="68">
        <f>IF(T49,Configuration!$D$19,0)</f>
        <v>0.33333333333333337</v>
      </c>
      <c r="U50" s="68">
        <f>IF(U49,Configuration!$D$19,0)</f>
        <v>0.33333333333333337</v>
      </c>
      <c r="V50" s="68">
        <f>IF(V49,Configuration!$D$19,0)</f>
        <v>0.33333333333333337</v>
      </c>
      <c r="W50" s="68">
        <f>IF(W49,Configuration!$D$19,0)</f>
        <v>0.33333333333333337</v>
      </c>
      <c r="X50" s="68">
        <f>IF(X49,Configuration!$D$19,0)</f>
        <v>0.33333333333333337</v>
      </c>
      <c r="Y50" s="68">
        <f>IF(Y49,Configuration!$D$19,0)</f>
        <v>0</v>
      </c>
      <c r="Z50" s="68">
        <f>IF(Z49,Configuration!$D$19,0)</f>
        <v>0</v>
      </c>
      <c r="AA50" s="68">
        <f>IF(AA49,Configuration!$D$19,0)</f>
        <v>0.33333333333333337</v>
      </c>
      <c r="AB50" s="68">
        <f>IF(AB49,Configuration!$D$19,0)</f>
        <v>0.33333333333333337</v>
      </c>
      <c r="AC50" s="68">
        <f>IF(AC49,Configuration!$D$19,0)</f>
        <v>0.33333333333333337</v>
      </c>
      <c r="AD50" s="68">
        <f>IF(AD49,Configuration!$D$19,0)</f>
        <v>0.33333333333333337</v>
      </c>
      <c r="AE50" s="68">
        <f>IF(AE49,Configuration!$D$19,0)</f>
        <v>0.33333333333333337</v>
      </c>
      <c r="AF50" s="68">
        <f>IF(AF49,Configuration!$D$19,0)</f>
        <v>0</v>
      </c>
      <c r="AG50" s="68">
        <f>IF(AG49,Configuration!$D$19,0)</f>
        <v>0</v>
      </c>
      <c r="AH50" s="68">
        <f>IF(AH49,Configuration!$D$19,0)</f>
        <v>0.33333333333333337</v>
      </c>
    </row>
    <row r="51" spans="2:34" s="34" customFormat="1" hidden="1" x14ac:dyDescent="0.25">
      <c r="C51" s="34" t="s">
        <v>2</v>
      </c>
      <c r="D51" s="68">
        <f>SUM(D3:D35)</f>
        <v>0</v>
      </c>
      <c r="E51" s="68">
        <f t="shared" ref="E51:AH51" si="4">SUM(E3:E35)</f>
        <v>0</v>
      </c>
      <c r="F51" s="68">
        <f t="shared" si="4"/>
        <v>0</v>
      </c>
      <c r="G51" s="68">
        <f t="shared" si="4"/>
        <v>0</v>
      </c>
      <c r="H51" s="68">
        <f t="shared" si="4"/>
        <v>0</v>
      </c>
      <c r="I51" s="68">
        <f t="shared" si="4"/>
        <v>0</v>
      </c>
      <c r="J51" s="68">
        <f t="shared" si="4"/>
        <v>0</v>
      </c>
      <c r="K51" s="68">
        <f t="shared" si="4"/>
        <v>0</v>
      </c>
      <c r="L51" s="68">
        <f t="shared" si="4"/>
        <v>0</v>
      </c>
      <c r="M51" s="68">
        <f t="shared" si="4"/>
        <v>0</v>
      </c>
      <c r="N51" s="68">
        <f t="shared" si="4"/>
        <v>0</v>
      </c>
      <c r="O51" s="68">
        <f t="shared" si="4"/>
        <v>0</v>
      </c>
      <c r="P51" s="68">
        <f t="shared" si="4"/>
        <v>0</v>
      </c>
      <c r="Q51" s="68">
        <f t="shared" si="4"/>
        <v>0</v>
      </c>
      <c r="R51" s="68">
        <f t="shared" si="4"/>
        <v>0</v>
      </c>
      <c r="S51" s="68">
        <f t="shared" si="4"/>
        <v>0</v>
      </c>
      <c r="T51" s="68">
        <f t="shared" si="4"/>
        <v>0</v>
      </c>
      <c r="U51" s="68">
        <f t="shared" si="4"/>
        <v>0</v>
      </c>
      <c r="V51" s="68">
        <f t="shared" si="4"/>
        <v>0</v>
      </c>
      <c r="W51" s="68">
        <f t="shared" si="4"/>
        <v>0</v>
      </c>
      <c r="X51" s="68">
        <f t="shared" si="4"/>
        <v>0</v>
      </c>
      <c r="Y51" s="68">
        <f t="shared" si="4"/>
        <v>0</v>
      </c>
      <c r="Z51" s="68">
        <f t="shared" si="4"/>
        <v>0</v>
      </c>
      <c r="AA51" s="68">
        <f t="shared" si="4"/>
        <v>0</v>
      </c>
      <c r="AB51" s="68">
        <f t="shared" si="4"/>
        <v>0</v>
      </c>
      <c r="AC51" s="68">
        <f t="shared" si="4"/>
        <v>0</v>
      </c>
      <c r="AD51" s="68">
        <f t="shared" si="4"/>
        <v>0</v>
      </c>
      <c r="AE51" s="68">
        <f t="shared" si="4"/>
        <v>0</v>
      </c>
      <c r="AF51" s="68">
        <f t="shared" si="4"/>
        <v>0</v>
      </c>
      <c r="AG51" s="68">
        <f t="shared" si="4"/>
        <v>0</v>
      </c>
      <c r="AH51" s="68">
        <f t="shared" si="4"/>
        <v>0</v>
      </c>
    </row>
    <row r="52" spans="2:34" s="34" customFormat="1" hidden="1" x14ac:dyDescent="0.25">
      <c r="C52" s="34" t="s">
        <v>93</v>
      </c>
      <c r="D52" s="68" t="str">
        <f>IF(SUM(D7:D35)&gt;0,SUM(D7:D35),"")</f>
        <v/>
      </c>
      <c r="E52" s="68" t="str">
        <f t="shared" ref="E52:AH52" si="5">IF(SUM(E7:E35)&gt;0,SUM(E7:E35),"")</f>
        <v/>
      </c>
      <c r="F52" s="68" t="str">
        <f t="shared" si="5"/>
        <v/>
      </c>
      <c r="G52" s="68" t="str">
        <f t="shared" si="5"/>
        <v/>
      </c>
      <c r="H52" s="68" t="str">
        <f t="shared" si="5"/>
        <v/>
      </c>
      <c r="I52" s="68" t="str">
        <f t="shared" si="5"/>
        <v/>
      </c>
      <c r="J52" s="68" t="str">
        <f t="shared" si="5"/>
        <v/>
      </c>
      <c r="K52" s="68" t="str">
        <f t="shared" si="5"/>
        <v/>
      </c>
      <c r="L52" s="68" t="str">
        <f t="shared" si="5"/>
        <v/>
      </c>
      <c r="M52" s="68" t="str">
        <f t="shared" si="5"/>
        <v/>
      </c>
      <c r="N52" s="68" t="str">
        <f t="shared" si="5"/>
        <v/>
      </c>
      <c r="O52" s="68" t="str">
        <f t="shared" si="5"/>
        <v/>
      </c>
      <c r="P52" s="68" t="str">
        <f t="shared" si="5"/>
        <v/>
      </c>
      <c r="Q52" s="68" t="str">
        <f t="shared" si="5"/>
        <v/>
      </c>
      <c r="R52" s="68" t="str">
        <f t="shared" si="5"/>
        <v/>
      </c>
      <c r="S52" s="68" t="str">
        <f t="shared" si="5"/>
        <v/>
      </c>
      <c r="T52" s="68" t="str">
        <f t="shared" si="5"/>
        <v/>
      </c>
      <c r="U52" s="68" t="str">
        <f t="shared" si="5"/>
        <v/>
      </c>
      <c r="V52" s="68" t="str">
        <f t="shared" si="5"/>
        <v/>
      </c>
      <c r="W52" s="68" t="str">
        <f t="shared" si="5"/>
        <v/>
      </c>
      <c r="X52" s="68" t="str">
        <f t="shared" si="5"/>
        <v/>
      </c>
      <c r="Y52" s="68" t="str">
        <f t="shared" si="5"/>
        <v/>
      </c>
      <c r="Z52" s="68" t="str">
        <f t="shared" si="5"/>
        <v/>
      </c>
      <c r="AA52" s="68" t="str">
        <f t="shared" si="5"/>
        <v/>
      </c>
      <c r="AB52" s="68" t="str">
        <f t="shared" si="5"/>
        <v/>
      </c>
      <c r="AC52" s="68" t="str">
        <f t="shared" si="5"/>
        <v/>
      </c>
      <c r="AD52" s="68" t="str">
        <f t="shared" si="5"/>
        <v/>
      </c>
      <c r="AE52" s="68" t="str">
        <f t="shared" si="5"/>
        <v/>
      </c>
      <c r="AF52" s="68" t="str">
        <f t="shared" si="5"/>
        <v/>
      </c>
      <c r="AG52" s="68" t="str">
        <f t="shared" si="5"/>
        <v/>
      </c>
      <c r="AH52" s="68" t="str">
        <f t="shared" si="5"/>
        <v/>
      </c>
    </row>
    <row r="54" spans="2:34" hidden="1" x14ac:dyDescent="0.25">
      <c r="C54" s="34" t="s">
        <v>8</v>
      </c>
      <c r="D54" s="59" t="str">
        <f t="shared" ref="D54:AH54" si="6">IF(D3&gt;0,$C54&amp;", ","")</f>
        <v/>
      </c>
      <c r="E54" s="59" t="str">
        <f t="shared" si="6"/>
        <v/>
      </c>
      <c r="F54" s="59" t="str">
        <f t="shared" si="6"/>
        <v/>
      </c>
      <c r="G54" s="59" t="str">
        <f t="shared" si="6"/>
        <v/>
      </c>
      <c r="H54" s="59" t="str">
        <f t="shared" si="6"/>
        <v/>
      </c>
      <c r="I54" s="59" t="str">
        <f t="shared" si="6"/>
        <v/>
      </c>
      <c r="J54" s="59" t="str">
        <f t="shared" si="6"/>
        <v/>
      </c>
      <c r="K54" s="59" t="str">
        <f t="shared" si="6"/>
        <v/>
      </c>
      <c r="L54" s="59" t="str">
        <f t="shared" si="6"/>
        <v/>
      </c>
      <c r="M54" s="59" t="str">
        <f t="shared" si="6"/>
        <v/>
      </c>
      <c r="N54" s="59" t="str">
        <f t="shared" si="6"/>
        <v/>
      </c>
      <c r="O54" s="59" t="str">
        <f t="shared" si="6"/>
        <v/>
      </c>
      <c r="P54" s="59" t="str">
        <f t="shared" si="6"/>
        <v/>
      </c>
      <c r="Q54" s="59" t="str">
        <f t="shared" si="6"/>
        <v/>
      </c>
      <c r="R54" s="59" t="str">
        <f t="shared" si="6"/>
        <v/>
      </c>
      <c r="S54" s="59" t="str">
        <f t="shared" si="6"/>
        <v/>
      </c>
      <c r="T54" s="59" t="str">
        <f t="shared" si="6"/>
        <v/>
      </c>
      <c r="U54" s="59" t="str">
        <f t="shared" si="6"/>
        <v/>
      </c>
      <c r="V54" s="59" t="str">
        <f t="shared" si="6"/>
        <v/>
      </c>
      <c r="W54" s="59" t="str">
        <f t="shared" si="6"/>
        <v/>
      </c>
      <c r="X54" s="59" t="str">
        <f t="shared" si="6"/>
        <v/>
      </c>
      <c r="Y54" s="59" t="str">
        <f t="shared" si="6"/>
        <v/>
      </c>
      <c r="Z54" s="59" t="str">
        <f t="shared" si="6"/>
        <v/>
      </c>
      <c r="AA54" s="59" t="str">
        <f t="shared" si="6"/>
        <v/>
      </c>
      <c r="AB54" s="59" t="str">
        <f t="shared" si="6"/>
        <v/>
      </c>
      <c r="AC54" s="59" t="str">
        <f t="shared" si="6"/>
        <v/>
      </c>
      <c r="AD54" s="59" t="str">
        <f t="shared" si="6"/>
        <v/>
      </c>
      <c r="AE54" s="59" t="str">
        <f t="shared" si="6"/>
        <v/>
      </c>
      <c r="AF54" s="59" t="str">
        <f t="shared" si="6"/>
        <v/>
      </c>
      <c r="AG54" s="59" t="str">
        <f t="shared" si="6"/>
        <v/>
      </c>
      <c r="AH54" s="59" t="str">
        <f t="shared" si="6"/>
        <v/>
      </c>
    </row>
    <row r="55" spans="2:34" hidden="1" x14ac:dyDescent="0.25">
      <c r="C55" s="34" t="s">
        <v>7</v>
      </c>
      <c r="D55" s="59" t="str">
        <f t="shared" ref="D55:AH55" si="7">IF(D4&gt;0,$C55&amp;", ","")</f>
        <v/>
      </c>
      <c r="E55" s="59" t="str">
        <f t="shared" si="7"/>
        <v/>
      </c>
      <c r="F55" s="59" t="str">
        <f t="shared" si="7"/>
        <v/>
      </c>
      <c r="G55" s="59" t="str">
        <f t="shared" si="7"/>
        <v/>
      </c>
      <c r="H55" s="59" t="str">
        <f t="shared" si="7"/>
        <v/>
      </c>
      <c r="I55" s="59" t="str">
        <f t="shared" si="7"/>
        <v/>
      </c>
      <c r="J55" s="59" t="str">
        <f t="shared" si="7"/>
        <v/>
      </c>
      <c r="K55" s="59" t="str">
        <f t="shared" si="7"/>
        <v/>
      </c>
      <c r="L55" s="59" t="str">
        <f t="shared" si="7"/>
        <v/>
      </c>
      <c r="M55" s="59" t="str">
        <f t="shared" si="7"/>
        <v/>
      </c>
      <c r="N55" s="59" t="str">
        <f t="shared" si="7"/>
        <v/>
      </c>
      <c r="O55" s="59" t="str">
        <f t="shared" si="7"/>
        <v/>
      </c>
      <c r="P55" s="59" t="str">
        <f t="shared" si="7"/>
        <v/>
      </c>
      <c r="Q55" s="59" t="str">
        <f t="shared" si="7"/>
        <v/>
      </c>
      <c r="R55" s="59" t="str">
        <f t="shared" si="7"/>
        <v/>
      </c>
      <c r="S55" s="59" t="str">
        <f t="shared" si="7"/>
        <v/>
      </c>
      <c r="T55" s="59" t="str">
        <f t="shared" si="7"/>
        <v/>
      </c>
      <c r="U55" s="59" t="str">
        <f t="shared" si="7"/>
        <v/>
      </c>
      <c r="V55" s="59" t="str">
        <f t="shared" si="7"/>
        <v/>
      </c>
      <c r="W55" s="59" t="str">
        <f t="shared" si="7"/>
        <v/>
      </c>
      <c r="X55" s="59" t="str">
        <f t="shared" si="7"/>
        <v/>
      </c>
      <c r="Y55" s="59" t="str">
        <f t="shared" si="7"/>
        <v/>
      </c>
      <c r="Z55" s="59" t="str">
        <f t="shared" si="7"/>
        <v/>
      </c>
      <c r="AA55" s="59" t="str">
        <f t="shared" si="7"/>
        <v/>
      </c>
      <c r="AB55" s="59" t="str">
        <f t="shared" si="7"/>
        <v/>
      </c>
      <c r="AC55" s="59" t="str">
        <f t="shared" si="7"/>
        <v/>
      </c>
      <c r="AD55" s="59" t="str">
        <f t="shared" si="7"/>
        <v/>
      </c>
      <c r="AE55" s="59" t="str">
        <f t="shared" si="7"/>
        <v/>
      </c>
      <c r="AF55" s="59" t="str">
        <f t="shared" si="7"/>
        <v/>
      </c>
      <c r="AG55" s="59" t="str">
        <f t="shared" si="7"/>
        <v/>
      </c>
      <c r="AH55" s="59" t="str">
        <f t="shared" si="7"/>
        <v/>
      </c>
    </row>
    <row r="56" spans="2:34" hidden="1" x14ac:dyDescent="0.25">
      <c r="C56" s="34" t="s">
        <v>25</v>
      </c>
      <c r="D56" s="59" t="str">
        <f t="shared" ref="D56:AH56" si="8">IF(D5&gt;0,$C56&amp;", ","")</f>
        <v/>
      </c>
      <c r="E56" s="59" t="str">
        <f t="shared" si="8"/>
        <v/>
      </c>
      <c r="F56" s="59" t="str">
        <f t="shared" si="8"/>
        <v/>
      </c>
      <c r="G56" s="59" t="str">
        <f t="shared" si="8"/>
        <v/>
      </c>
      <c r="H56" s="59" t="str">
        <f t="shared" si="8"/>
        <v/>
      </c>
      <c r="I56" s="59" t="str">
        <f t="shared" si="8"/>
        <v/>
      </c>
      <c r="J56" s="59" t="str">
        <f t="shared" si="8"/>
        <v/>
      </c>
      <c r="K56" s="59" t="str">
        <f t="shared" si="8"/>
        <v/>
      </c>
      <c r="L56" s="59" t="str">
        <f t="shared" si="8"/>
        <v/>
      </c>
      <c r="M56" s="59" t="str">
        <f t="shared" si="8"/>
        <v/>
      </c>
      <c r="N56" s="59" t="str">
        <f t="shared" si="8"/>
        <v/>
      </c>
      <c r="O56" s="59" t="str">
        <f t="shared" si="8"/>
        <v/>
      </c>
      <c r="P56" s="59" t="str">
        <f t="shared" si="8"/>
        <v/>
      </c>
      <c r="Q56" s="59" t="str">
        <f t="shared" si="8"/>
        <v/>
      </c>
      <c r="R56" s="59" t="str">
        <f t="shared" si="8"/>
        <v/>
      </c>
      <c r="S56" s="59" t="str">
        <f t="shared" si="8"/>
        <v/>
      </c>
      <c r="T56" s="59" t="str">
        <f t="shared" si="8"/>
        <v/>
      </c>
      <c r="U56" s="59" t="str">
        <f t="shared" si="8"/>
        <v/>
      </c>
      <c r="V56" s="59" t="str">
        <f t="shared" si="8"/>
        <v/>
      </c>
      <c r="W56" s="59" t="str">
        <f t="shared" si="8"/>
        <v/>
      </c>
      <c r="X56" s="59" t="str">
        <f t="shared" si="8"/>
        <v/>
      </c>
      <c r="Y56" s="59" t="str">
        <f t="shared" si="8"/>
        <v/>
      </c>
      <c r="Z56" s="59" t="str">
        <f t="shared" si="8"/>
        <v/>
      </c>
      <c r="AA56" s="59" t="str">
        <f t="shared" si="8"/>
        <v/>
      </c>
      <c r="AB56" s="59" t="str">
        <f t="shared" si="8"/>
        <v/>
      </c>
      <c r="AC56" s="59" t="str">
        <f t="shared" si="8"/>
        <v/>
      </c>
      <c r="AD56" s="59" t="str">
        <f t="shared" si="8"/>
        <v/>
      </c>
      <c r="AE56" s="59" t="str">
        <f t="shared" si="8"/>
        <v/>
      </c>
      <c r="AF56" s="59" t="str">
        <f t="shared" si="8"/>
        <v/>
      </c>
      <c r="AG56" s="59" t="str">
        <f t="shared" si="8"/>
        <v/>
      </c>
      <c r="AH56" s="59" t="str">
        <f t="shared" si="8"/>
        <v/>
      </c>
    </row>
    <row r="57" spans="2:34" hidden="1" x14ac:dyDescent="0.25">
      <c r="C57" s="34" t="s">
        <v>29</v>
      </c>
      <c r="D57" s="59" t="str">
        <f t="shared" ref="D57:AH57" si="9">IF(D6&gt;0,$C57&amp;", ","")</f>
        <v/>
      </c>
      <c r="E57" s="59" t="str">
        <f t="shared" si="9"/>
        <v/>
      </c>
      <c r="F57" s="59" t="str">
        <f t="shared" si="9"/>
        <v/>
      </c>
      <c r="G57" s="59" t="str">
        <f t="shared" si="9"/>
        <v/>
      </c>
      <c r="H57" s="59" t="str">
        <f t="shared" si="9"/>
        <v/>
      </c>
      <c r="I57" s="59" t="str">
        <f t="shared" si="9"/>
        <v/>
      </c>
      <c r="J57" s="59" t="str">
        <f t="shared" si="9"/>
        <v/>
      </c>
      <c r="K57" s="59" t="str">
        <f t="shared" si="9"/>
        <v/>
      </c>
      <c r="L57" s="59" t="str">
        <f t="shared" si="9"/>
        <v/>
      </c>
      <c r="M57" s="59" t="str">
        <f t="shared" si="9"/>
        <v/>
      </c>
      <c r="N57" s="59" t="str">
        <f t="shared" si="9"/>
        <v/>
      </c>
      <c r="O57" s="59" t="str">
        <f t="shared" si="9"/>
        <v/>
      </c>
      <c r="P57" s="59" t="str">
        <f t="shared" si="9"/>
        <v/>
      </c>
      <c r="Q57" s="59" t="str">
        <f t="shared" si="9"/>
        <v/>
      </c>
      <c r="R57" s="59" t="str">
        <f t="shared" si="9"/>
        <v/>
      </c>
      <c r="S57" s="59" t="str">
        <f t="shared" si="9"/>
        <v/>
      </c>
      <c r="T57" s="59" t="str">
        <f t="shared" si="9"/>
        <v/>
      </c>
      <c r="U57" s="59" t="str">
        <f t="shared" si="9"/>
        <v/>
      </c>
      <c r="V57" s="59" t="str">
        <f t="shared" si="9"/>
        <v/>
      </c>
      <c r="W57" s="59" t="str">
        <f t="shared" si="9"/>
        <v/>
      </c>
      <c r="X57" s="59" t="str">
        <f t="shared" si="9"/>
        <v/>
      </c>
      <c r="Y57" s="59" t="str">
        <f t="shared" si="9"/>
        <v/>
      </c>
      <c r="Z57" s="59" t="str">
        <f t="shared" si="9"/>
        <v/>
      </c>
      <c r="AA57" s="59" t="str">
        <f t="shared" si="9"/>
        <v/>
      </c>
      <c r="AB57" s="59" t="str">
        <f t="shared" si="9"/>
        <v/>
      </c>
      <c r="AC57" s="59" t="str">
        <f t="shared" si="9"/>
        <v/>
      </c>
      <c r="AD57" s="59" t="str">
        <f t="shared" si="9"/>
        <v/>
      </c>
      <c r="AE57" s="59" t="str">
        <f t="shared" si="9"/>
        <v/>
      </c>
      <c r="AF57" s="59" t="str">
        <f t="shared" si="9"/>
        <v/>
      </c>
      <c r="AG57" s="59" t="str">
        <f t="shared" si="9"/>
        <v/>
      </c>
      <c r="AH57" s="59" t="str">
        <f t="shared" si="9"/>
        <v/>
      </c>
    </row>
  </sheetData>
  <conditionalFormatting sqref="D2:AH2">
    <cfRule type="expression" dxfId="5" priority="1" stopIfTrue="1">
      <formula>OR(AND(D49,D51&gt;D50),AND(NOT(D49),D51&gt;0))</formula>
    </cfRule>
    <cfRule type="expression" dxfId="4" priority="12" stopIfTrue="1">
      <formula>AND(D49,OR(D51=D50,AND(D50=0,D51="")))</formula>
    </cfRule>
  </conditionalFormatting>
  <conditionalFormatting sqref="D2:AH35">
    <cfRule type="expression" dxfId="3" priority="14" stopIfTrue="1">
      <formula>OR(WEEKDAY(D$2)=7,WEEKDAY(D$2)=1)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236043-8DD9-4153-8842-5A24BEF171F1}">
          <x14:formula1>
            <xm:f>'Codes projet'!$A$2:$A$800</xm:f>
          </x14:formula1>
          <xm:sqref>B7:B35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E767-BB80-4F39-AD8C-03A0BD11B651}">
  <dimension ref="A1:S50"/>
  <sheetViews>
    <sheetView workbookViewId="0">
      <selection activeCell="C44" sqref="C44:F46"/>
    </sheetView>
  </sheetViews>
  <sheetFormatPr defaultColWidth="0" defaultRowHeight="0" customHeight="1" zeroHeight="1" x14ac:dyDescent="0.25"/>
  <cols>
    <col min="1" max="1" width="2.5703125" style="12" customWidth="1"/>
    <col min="2" max="2" width="3.5703125" style="12" customWidth="1"/>
    <col min="3" max="3" width="9.85546875" style="12" customWidth="1"/>
    <col min="4" max="4" width="8.28515625" style="12" customWidth="1"/>
    <col min="5" max="5" width="1.7109375" style="12" customWidth="1"/>
    <col min="6" max="6" width="16.28515625" style="12" customWidth="1"/>
    <col min="7" max="7" width="1.7109375" style="12" customWidth="1"/>
    <col min="8" max="8" width="13" style="12" customWidth="1"/>
    <col min="9" max="9" width="7.28515625" style="12" customWidth="1"/>
    <col min="10" max="10" width="21.5703125" style="12" customWidth="1"/>
    <col min="11" max="11" width="3.5703125" style="12" customWidth="1"/>
    <col min="12" max="12" width="3" style="12" customWidth="1"/>
    <col min="13" max="16384" width="9.140625" style="12" hidden="1"/>
  </cols>
  <sheetData>
    <row r="1" spans="1:19" ht="15" x14ac:dyDescent="0.25"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9" ht="36.75" customHeight="1" x14ac:dyDescent="0.4">
      <c r="A2" s="14"/>
      <c r="B2" s="15"/>
      <c r="C2" s="16"/>
      <c r="D2" s="149" t="s">
        <v>19</v>
      </c>
      <c r="E2" s="149"/>
      <c r="F2" s="149"/>
      <c r="G2" s="149"/>
      <c r="H2" s="149"/>
      <c r="I2" s="149"/>
      <c r="J2" s="149"/>
      <c r="K2" s="150"/>
      <c r="L2" s="17"/>
    </row>
    <row r="3" spans="1:19" ht="35.25" customHeight="1" x14ac:dyDescent="0.25">
      <c r="A3" s="14"/>
      <c r="B3" s="18"/>
      <c r="C3" s="19"/>
      <c r="D3" s="151">
        <f>Configuration!D13</f>
        <v>0</v>
      </c>
      <c r="E3" s="151"/>
      <c r="F3" s="151"/>
      <c r="G3" s="151"/>
      <c r="H3" s="151"/>
      <c r="I3" s="151"/>
      <c r="J3" s="151"/>
      <c r="K3" s="152"/>
      <c r="L3" s="20"/>
    </row>
    <row r="4" spans="1:19" ht="33.75" customHeight="1" x14ac:dyDescent="0.25">
      <c r="A4" s="14"/>
      <c r="B4" s="7"/>
      <c r="C4" s="30" t="s">
        <v>26</v>
      </c>
      <c r="D4" s="139" t="str">
        <f>Configuration!D17</f>
        <v>Wavenet</v>
      </c>
      <c r="E4" s="139"/>
      <c r="F4" s="140"/>
      <c r="G4" s="100"/>
      <c r="H4" s="30" t="s">
        <v>9</v>
      </c>
      <c r="I4" s="139" t="str">
        <f>Configuration!D15&amp;" "&amp;Configuration!D14</f>
        <v>Vincent Delcoigne</v>
      </c>
      <c r="J4" s="139"/>
      <c r="K4" s="8"/>
      <c r="L4" s="20"/>
    </row>
    <row r="5" spans="1:19" ht="15" customHeight="1" x14ac:dyDescent="0.25">
      <c r="A5" s="23"/>
      <c r="B5" s="24"/>
      <c r="C5" s="25" t="s">
        <v>10</v>
      </c>
      <c r="D5" s="26" t="s">
        <v>11</v>
      </c>
      <c r="E5" s="26"/>
      <c r="F5" s="25" t="s">
        <v>12</v>
      </c>
      <c r="G5" s="25"/>
      <c r="H5" s="25"/>
      <c r="I5" s="26"/>
      <c r="J5" s="25"/>
      <c r="K5" s="27"/>
      <c r="L5" s="28"/>
    </row>
    <row r="6" spans="1:19" ht="8.25" customHeight="1" x14ac:dyDescent="0.25">
      <c r="A6" s="23"/>
      <c r="B6" s="28"/>
      <c r="C6" s="69"/>
      <c r="D6" s="70"/>
      <c r="E6" s="70"/>
      <c r="F6" s="69"/>
      <c r="G6" s="69"/>
      <c r="H6" s="69"/>
      <c r="I6" s="70"/>
      <c r="J6" s="69"/>
      <c r="K6" s="23"/>
      <c r="L6" s="28"/>
    </row>
    <row r="7" spans="1:19" ht="14.45" customHeight="1" x14ac:dyDescent="0.25">
      <c r="A7" s="14"/>
      <c r="B7" s="7"/>
      <c r="C7" s="1">
        <f>Configuration!D13</f>
        <v>0</v>
      </c>
      <c r="D7" s="3" t="str">
        <f t="array" ref="D7:D37">TRANSPOSE(Prestations!D52:AH52)</f>
        <v/>
      </c>
      <c r="E7" s="3"/>
      <c r="F7" s="145" t="str">
        <f>IF(S7="","",LEFT(S7, LEN(S7)-2))</f>
        <v/>
      </c>
      <c r="G7" s="145"/>
      <c r="H7" s="145"/>
      <c r="I7" s="145"/>
      <c r="J7" s="145"/>
      <c r="K7" s="8"/>
      <c r="L7" s="20"/>
      <c r="O7" s="12" t="str">
        <f t="array" ref="O7:R37">TRANSPOSE(Prestations!D54:AH57)</f>
        <v/>
      </c>
      <c r="P7" s="12" t="str">
        <v/>
      </c>
      <c r="Q7" s="12" t="str">
        <v/>
      </c>
      <c r="R7" s="12" t="str">
        <v/>
      </c>
      <c r="S7" s="12" t="str">
        <f>O7&amp;P7&amp;Q7&amp;R7</f>
        <v/>
      </c>
    </row>
    <row r="8" spans="1:19" ht="14.45" customHeight="1" x14ac:dyDescent="0.25">
      <c r="A8" s="14"/>
      <c r="B8" s="9"/>
      <c r="C8" s="1">
        <f t="shared" ref="C8:C34" si="0">C7+1</f>
        <v>1</v>
      </c>
      <c r="D8" s="3" t="str">
        <v/>
      </c>
      <c r="E8" s="3"/>
      <c r="F8" s="145" t="str">
        <f t="shared" ref="F8:F37" si="1">IF(S8="","",LEFT(S8, LEN(S8)-2))</f>
        <v/>
      </c>
      <c r="G8" s="145"/>
      <c r="H8" s="145"/>
      <c r="I8" s="145"/>
      <c r="J8" s="145"/>
      <c r="K8" s="8"/>
      <c r="L8" s="20"/>
      <c r="O8" s="12" t="str">
        <v/>
      </c>
      <c r="P8" s="12" t="str">
        <v/>
      </c>
      <c r="Q8" s="12" t="str">
        <v/>
      </c>
      <c r="R8" s="12" t="str">
        <v/>
      </c>
      <c r="S8" s="12" t="str">
        <f t="shared" ref="S8:S37" si="2">O8&amp;P8&amp;Q8&amp;R8</f>
        <v/>
      </c>
    </row>
    <row r="9" spans="1:19" ht="14.45" customHeight="1" x14ac:dyDescent="0.25">
      <c r="A9" s="14"/>
      <c r="B9" s="9"/>
      <c r="C9" s="1">
        <f t="shared" si="0"/>
        <v>2</v>
      </c>
      <c r="D9" s="3" t="str">
        <v/>
      </c>
      <c r="E9" s="3"/>
      <c r="F9" s="145" t="str">
        <f t="shared" si="1"/>
        <v/>
      </c>
      <c r="G9" s="145"/>
      <c r="H9" s="145"/>
      <c r="I9" s="145"/>
      <c r="J9" s="145"/>
      <c r="K9" s="8"/>
      <c r="L9" s="20"/>
      <c r="O9" s="12" t="str">
        <v/>
      </c>
      <c r="P9" s="12" t="str">
        <v/>
      </c>
      <c r="Q9" s="12" t="str">
        <v/>
      </c>
      <c r="R9" s="12" t="str">
        <v/>
      </c>
      <c r="S9" s="12" t="str">
        <f t="shared" si="2"/>
        <v/>
      </c>
    </row>
    <row r="10" spans="1:19" ht="14.45" customHeight="1" x14ac:dyDescent="0.25">
      <c r="A10" s="14"/>
      <c r="B10" s="9"/>
      <c r="C10" s="1">
        <f t="shared" si="0"/>
        <v>3</v>
      </c>
      <c r="D10" s="3" t="str">
        <v/>
      </c>
      <c r="E10" s="3"/>
      <c r="F10" s="145" t="str">
        <f t="shared" si="1"/>
        <v/>
      </c>
      <c r="G10" s="145"/>
      <c r="H10" s="145"/>
      <c r="I10" s="145"/>
      <c r="J10" s="145"/>
      <c r="K10" s="8"/>
      <c r="L10" s="20"/>
      <c r="O10" s="12" t="str">
        <v/>
      </c>
      <c r="P10" s="12" t="str">
        <v/>
      </c>
      <c r="Q10" s="12" t="str">
        <v/>
      </c>
      <c r="R10" s="12" t="str">
        <v/>
      </c>
      <c r="S10" s="12" t="str">
        <f t="shared" si="2"/>
        <v/>
      </c>
    </row>
    <row r="11" spans="1:19" ht="14.45" customHeight="1" x14ac:dyDescent="0.25">
      <c r="A11" s="14"/>
      <c r="B11" s="9"/>
      <c r="C11" s="1">
        <f t="shared" si="0"/>
        <v>4</v>
      </c>
      <c r="D11" s="3" t="str">
        <v/>
      </c>
      <c r="E11" s="3"/>
      <c r="F11" s="145" t="str">
        <f t="shared" si="1"/>
        <v/>
      </c>
      <c r="G11" s="145"/>
      <c r="H11" s="145"/>
      <c r="I11" s="145"/>
      <c r="J11" s="145"/>
      <c r="K11" s="8"/>
      <c r="L11" s="20"/>
      <c r="O11" s="12" t="str">
        <v/>
      </c>
      <c r="P11" s="12" t="str">
        <v/>
      </c>
      <c r="Q11" s="12" t="str">
        <v/>
      </c>
      <c r="R11" s="12" t="str">
        <v/>
      </c>
      <c r="S11" s="12" t="str">
        <f t="shared" si="2"/>
        <v/>
      </c>
    </row>
    <row r="12" spans="1:19" ht="14.45" customHeight="1" x14ac:dyDescent="0.25">
      <c r="A12" s="14"/>
      <c r="B12" s="9"/>
      <c r="C12" s="1">
        <f t="shared" si="0"/>
        <v>5</v>
      </c>
      <c r="D12" s="3" t="str">
        <v/>
      </c>
      <c r="E12" s="3"/>
      <c r="F12" s="145" t="str">
        <f t="shared" si="1"/>
        <v/>
      </c>
      <c r="G12" s="145"/>
      <c r="H12" s="145"/>
      <c r="I12" s="145"/>
      <c r="J12" s="145"/>
      <c r="K12" s="8"/>
      <c r="L12" s="20"/>
      <c r="O12" s="12" t="str">
        <v/>
      </c>
      <c r="P12" s="12" t="str">
        <v/>
      </c>
      <c r="Q12" s="12" t="str">
        <v/>
      </c>
      <c r="R12" s="12" t="str">
        <v/>
      </c>
      <c r="S12" s="12" t="str">
        <f t="shared" si="2"/>
        <v/>
      </c>
    </row>
    <row r="13" spans="1:19" ht="14.45" customHeight="1" x14ac:dyDescent="0.25">
      <c r="A13" s="14"/>
      <c r="B13" s="9"/>
      <c r="C13" s="1">
        <f t="shared" si="0"/>
        <v>6</v>
      </c>
      <c r="D13" s="3" t="str">
        <v/>
      </c>
      <c r="E13" s="3"/>
      <c r="F13" s="145" t="str">
        <f t="shared" si="1"/>
        <v/>
      </c>
      <c r="G13" s="145"/>
      <c r="H13" s="145"/>
      <c r="I13" s="145"/>
      <c r="J13" s="145"/>
      <c r="K13" s="8"/>
      <c r="L13" s="20"/>
      <c r="O13" s="12" t="str">
        <v/>
      </c>
      <c r="P13" s="12" t="str">
        <v/>
      </c>
      <c r="Q13" s="12" t="str">
        <v/>
      </c>
      <c r="R13" s="12" t="str">
        <v/>
      </c>
      <c r="S13" s="12" t="str">
        <f t="shared" si="2"/>
        <v/>
      </c>
    </row>
    <row r="14" spans="1:19" ht="14.45" customHeight="1" x14ac:dyDescent="0.25">
      <c r="A14" s="14"/>
      <c r="B14" s="9"/>
      <c r="C14" s="1">
        <f t="shared" si="0"/>
        <v>7</v>
      </c>
      <c r="D14" s="3" t="str">
        <v/>
      </c>
      <c r="E14" s="3"/>
      <c r="F14" s="145" t="str">
        <f t="shared" si="1"/>
        <v/>
      </c>
      <c r="G14" s="145"/>
      <c r="H14" s="145"/>
      <c r="I14" s="145"/>
      <c r="J14" s="145"/>
      <c r="K14" s="8"/>
      <c r="L14" s="20"/>
      <c r="O14" s="12" t="str">
        <v/>
      </c>
      <c r="P14" s="12" t="str">
        <v/>
      </c>
      <c r="Q14" s="12" t="str">
        <v/>
      </c>
      <c r="R14" s="12" t="str">
        <v/>
      </c>
      <c r="S14" s="12" t="str">
        <f t="shared" si="2"/>
        <v/>
      </c>
    </row>
    <row r="15" spans="1:19" ht="14.45" customHeight="1" x14ac:dyDescent="0.25">
      <c r="A15" s="14"/>
      <c r="B15" s="9"/>
      <c r="C15" s="1">
        <f t="shared" si="0"/>
        <v>8</v>
      </c>
      <c r="D15" s="3" t="str">
        <v/>
      </c>
      <c r="E15" s="3"/>
      <c r="F15" s="145" t="str">
        <f t="shared" si="1"/>
        <v/>
      </c>
      <c r="G15" s="145"/>
      <c r="H15" s="145"/>
      <c r="I15" s="145"/>
      <c r="J15" s="145"/>
      <c r="K15" s="8"/>
      <c r="L15" s="20"/>
      <c r="O15" s="12" t="str">
        <v/>
      </c>
      <c r="P15" s="12" t="str">
        <v/>
      </c>
      <c r="Q15" s="12" t="str">
        <v/>
      </c>
      <c r="R15" s="12" t="str">
        <v/>
      </c>
      <c r="S15" s="12" t="str">
        <f t="shared" si="2"/>
        <v/>
      </c>
    </row>
    <row r="16" spans="1:19" ht="14.45" customHeight="1" x14ac:dyDescent="0.25">
      <c r="A16" s="14"/>
      <c r="B16" s="9"/>
      <c r="C16" s="1">
        <f t="shared" si="0"/>
        <v>9</v>
      </c>
      <c r="D16" s="3" t="str">
        <v/>
      </c>
      <c r="E16" s="3"/>
      <c r="F16" s="145" t="str">
        <f t="shared" si="1"/>
        <v/>
      </c>
      <c r="G16" s="145"/>
      <c r="H16" s="145"/>
      <c r="I16" s="145"/>
      <c r="J16" s="145"/>
      <c r="K16" s="8"/>
      <c r="L16" s="20"/>
      <c r="O16" s="12" t="str">
        <v/>
      </c>
      <c r="P16" s="12" t="str">
        <v/>
      </c>
      <c r="Q16" s="12" t="str">
        <v/>
      </c>
      <c r="R16" s="12" t="str">
        <v/>
      </c>
      <c r="S16" s="12" t="str">
        <f t="shared" si="2"/>
        <v/>
      </c>
    </row>
    <row r="17" spans="1:19" ht="14.45" customHeight="1" x14ac:dyDescent="0.25">
      <c r="A17" s="14"/>
      <c r="B17" s="9"/>
      <c r="C17" s="1">
        <f t="shared" si="0"/>
        <v>10</v>
      </c>
      <c r="D17" s="3" t="str">
        <v/>
      </c>
      <c r="E17" s="3"/>
      <c r="F17" s="145" t="str">
        <f t="shared" si="1"/>
        <v/>
      </c>
      <c r="G17" s="145"/>
      <c r="H17" s="145"/>
      <c r="I17" s="145"/>
      <c r="J17" s="145"/>
      <c r="K17" s="8"/>
      <c r="L17" s="20"/>
      <c r="O17" s="12" t="str">
        <v/>
      </c>
      <c r="P17" s="12" t="str">
        <v/>
      </c>
      <c r="Q17" s="12" t="str">
        <v/>
      </c>
      <c r="R17" s="12" t="str">
        <v/>
      </c>
      <c r="S17" s="12" t="str">
        <f t="shared" si="2"/>
        <v/>
      </c>
    </row>
    <row r="18" spans="1:19" ht="14.45" customHeight="1" x14ac:dyDescent="0.25">
      <c r="A18" s="14"/>
      <c r="B18" s="9"/>
      <c r="C18" s="1">
        <f t="shared" si="0"/>
        <v>11</v>
      </c>
      <c r="D18" s="3" t="str">
        <v/>
      </c>
      <c r="E18" s="3"/>
      <c r="F18" s="145" t="str">
        <f t="shared" si="1"/>
        <v/>
      </c>
      <c r="G18" s="145"/>
      <c r="H18" s="145"/>
      <c r="I18" s="145"/>
      <c r="J18" s="145"/>
      <c r="K18" s="8"/>
      <c r="L18" s="20"/>
      <c r="O18" s="12" t="str">
        <v/>
      </c>
      <c r="P18" s="12" t="str">
        <v/>
      </c>
      <c r="Q18" s="12" t="str">
        <v/>
      </c>
      <c r="R18" s="12" t="str">
        <v/>
      </c>
      <c r="S18" s="12" t="str">
        <f t="shared" si="2"/>
        <v/>
      </c>
    </row>
    <row r="19" spans="1:19" ht="14.45" customHeight="1" x14ac:dyDescent="0.25">
      <c r="A19" s="14"/>
      <c r="B19" s="9"/>
      <c r="C19" s="1">
        <f t="shared" si="0"/>
        <v>12</v>
      </c>
      <c r="D19" s="3" t="str">
        <v/>
      </c>
      <c r="E19" s="3"/>
      <c r="F19" s="145" t="str">
        <f t="shared" si="1"/>
        <v/>
      </c>
      <c r="G19" s="145"/>
      <c r="H19" s="145"/>
      <c r="I19" s="145"/>
      <c r="J19" s="145"/>
      <c r="K19" s="8"/>
      <c r="L19" s="20"/>
      <c r="O19" s="12" t="str">
        <v/>
      </c>
      <c r="P19" s="12" t="str">
        <v/>
      </c>
      <c r="Q19" s="12" t="str">
        <v/>
      </c>
      <c r="R19" s="12" t="str">
        <v/>
      </c>
      <c r="S19" s="12" t="str">
        <f t="shared" si="2"/>
        <v/>
      </c>
    </row>
    <row r="20" spans="1:19" ht="14.45" customHeight="1" x14ac:dyDescent="0.25">
      <c r="A20" s="14"/>
      <c r="B20" s="9"/>
      <c r="C20" s="1">
        <f t="shared" si="0"/>
        <v>13</v>
      </c>
      <c r="D20" s="3" t="str">
        <v/>
      </c>
      <c r="E20" s="3"/>
      <c r="F20" s="145" t="str">
        <f t="shared" si="1"/>
        <v/>
      </c>
      <c r="G20" s="145"/>
      <c r="H20" s="145"/>
      <c r="I20" s="145"/>
      <c r="J20" s="145"/>
      <c r="K20" s="8"/>
      <c r="L20" s="20"/>
      <c r="O20" s="12" t="str">
        <v/>
      </c>
      <c r="P20" s="12" t="str">
        <v/>
      </c>
      <c r="Q20" s="12" t="str">
        <v/>
      </c>
      <c r="R20" s="12" t="str">
        <v/>
      </c>
      <c r="S20" s="12" t="str">
        <f t="shared" si="2"/>
        <v/>
      </c>
    </row>
    <row r="21" spans="1:19" ht="14.45" customHeight="1" x14ac:dyDescent="0.25">
      <c r="A21" s="14"/>
      <c r="B21" s="9"/>
      <c r="C21" s="1">
        <f t="shared" si="0"/>
        <v>14</v>
      </c>
      <c r="D21" s="3" t="str">
        <v/>
      </c>
      <c r="E21" s="3"/>
      <c r="F21" s="145" t="str">
        <f t="shared" si="1"/>
        <v/>
      </c>
      <c r="G21" s="145"/>
      <c r="H21" s="145"/>
      <c r="I21" s="145"/>
      <c r="J21" s="145"/>
      <c r="K21" s="8"/>
      <c r="L21" s="20"/>
      <c r="O21" s="12" t="str">
        <v/>
      </c>
      <c r="P21" s="12" t="str">
        <v/>
      </c>
      <c r="Q21" s="12" t="str">
        <v/>
      </c>
      <c r="R21" s="12" t="str">
        <v/>
      </c>
      <c r="S21" s="12" t="str">
        <f t="shared" si="2"/>
        <v/>
      </c>
    </row>
    <row r="22" spans="1:19" ht="14.45" customHeight="1" x14ac:dyDescent="0.25">
      <c r="A22" s="14"/>
      <c r="B22" s="7"/>
      <c r="C22" s="1">
        <f t="shared" si="0"/>
        <v>15</v>
      </c>
      <c r="D22" s="3" t="str">
        <v/>
      </c>
      <c r="E22" s="3"/>
      <c r="F22" s="145" t="str">
        <f t="shared" si="1"/>
        <v/>
      </c>
      <c r="G22" s="145"/>
      <c r="H22" s="145"/>
      <c r="I22" s="145"/>
      <c r="J22" s="145"/>
      <c r="K22" s="8"/>
      <c r="L22" s="20"/>
      <c r="O22" s="12" t="str">
        <v/>
      </c>
      <c r="P22" s="12" t="str">
        <v/>
      </c>
      <c r="Q22" s="12" t="str">
        <v/>
      </c>
      <c r="R22" s="12" t="str">
        <v/>
      </c>
      <c r="S22" s="12" t="str">
        <f t="shared" si="2"/>
        <v/>
      </c>
    </row>
    <row r="23" spans="1:19" ht="14.45" customHeight="1" x14ac:dyDescent="0.25">
      <c r="A23" s="14"/>
      <c r="B23" s="7"/>
      <c r="C23" s="1">
        <f t="shared" si="0"/>
        <v>16</v>
      </c>
      <c r="D23" s="3" t="str">
        <v/>
      </c>
      <c r="E23" s="3"/>
      <c r="F23" s="145" t="str">
        <f t="shared" si="1"/>
        <v/>
      </c>
      <c r="G23" s="145"/>
      <c r="H23" s="145"/>
      <c r="I23" s="145"/>
      <c r="J23" s="145"/>
      <c r="K23" s="8"/>
      <c r="L23" s="20"/>
      <c r="O23" s="12" t="str">
        <v/>
      </c>
      <c r="P23" s="12" t="str">
        <v/>
      </c>
      <c r="Q23" s="12" t="str">
        <v/>
      </c>
      <c r="R23" s="12" t="str">
        <v/>
      </c>
      <c r="S23" s="12" t="str">
        <f t="shared" si="2"/>
        <v/>
      </c>
    </row>
    <row r="24" spans="1:19" ht="14.45" customHeight="1" x14ac:dyDescent="0.25">
      <c r="A24" s="14"/>
      <c r="B24" s="7"/>
      <c r="C24" s="1">
        <f t="shared" si="0"/>
        <v>17</v>
      </c>
      <c r="D24" s="3" t="str">
        <v/>
      </c>
      <c r="E24" s="3"/>
      <c r="F24" s="145" t="str">
        <f t="shared" si="1"/>
        <v/>
      </c>
      <c r="G24" s="145"/>
      <c r="H24" s="145"/>
      <c r="I24" s="145"/>
      <c r="J24" s="145"/>
      <c r="K24" s="8"/>
      <c r="L24" s="20"/>
      <c r="O24" s="12" t="str">
        <v/>
      </c>
      <c r="P24" s="12" t="str">
        <v/>
      </c>
      <c r="Q24" s="12" t="str">
        <v/>
      </c>
      <c r="R24" s="12" t="str">
        <v/>
      </c>
      <c r="S24" s="12" t="str">
        <f t="shared" si="2"/>
        <v/>
      </c>
    </row>
    <row r="25" spans="1:19" ht="14.45" customHeight="1" x14ac:dyDescent="0.25">
      <c r="A25" s="14"/>
      <c r="B25" s="9"/>
      <c r="C25" s="1">
        <f t="shared" si="0"/>
        <v>18</v>
      </c>
      <c r="D25" s="3" t="str">
        <v/>
      </c>
      <c r="E25" s="3"/>
      <c r="F25" s="145" t="str">
        <f t="shared" si="1"/>
        <v/>
      </c>
      <c r="G25" s="145"/>
      <c r="H25" s="145"/>
      <c r="I25" s="145"/>
      <c r="J25" s="145"/>
      <c r="K25" s="8"/>
      <c r="L25" s="20"/>
      <c r="O25" s="12" t="str">
        <v/>
      </c>
      <c r="P25" s="12" t="str">
        <v/>
      </c>
      <c r="Q25" s="12" t="str">
        <v/>
      </c>
      <c r="R25" s="12" t="str">
        <v/>
      </c>
      <c r="S25" s="12" t="str">
        <f t="shared" si="2"/>
        <v/>
      </c>
    </row>
    <row r="26" spans="1:19" ht="14.45" customHeight="1" x14ac:dyDescent="0.25">
      <c r="A26" s="14"/>
      <c r="B26" s="7"/>
      <c r="C26" s="1">
        <f t="shared" si="0"/>
        <v>19</v>
      </c>
      <c r="D26" s="3" t="str">
        <v/>
      </c>
      <c r="E26" s="3"/>
      <c r="F26" s="145" t="str">
        <f t="shared" si="1"/>
        <v/>
      </c>
      <c r="G26" s="145"/>
      <c r="H26" s="145"/>
      <c r="I26" s="145"/>
      <c r="J26" s="145"/>
      <c r="K26" s="8"/>
      <c r="L26" s="20"/>
      <c r="O26" s="12" t="str">
        <v/>
      </c>
      <c r="P26" s="12" t="str">
        <v/>
      </c>
      <c r="Q26" s="12" t="str">
        <v/>
      </c>
      <c r="R26" s="12" t="str">
        <v/>
      </c>
      <c r="S26" s="12" t="str">
        <f t="shared" si="2"/>
        <v/>
      </c>
    </row>
    <row r="27" spans="1:19" ht="14.45" customHeight="1" x14ac:dyDescent="0.25">
      <c r="A27" s="14"/>
      <c r="B27" s="7"/>
      <c r="C27" s="1">
        <f t="shared" si="0"/>
        <v>20</v>
      </c>
      <c r="D27" s="3" t="str">
        <v/>
      </c>
      <c r="E27" s="3"/>
      <c r="F27" s="145" t="str">
        <f t="shared" si="1"/>
        <v/>
      </c>
      <c r="G27" s="145"/>
      <c r="H27" s="145"/>
      <c r="I27" s="145"/>
      <c r="J27" s="145"/>
      <c r="K27" s="8"/>
      <c r="L27" s="20"/>
      <c r="O27" s="12" t="str">
        <v/>
      </c>
      <c r="P27" s="12" t="str">
        <v/>
      </c>
      <c r="Q27" s="12" t="str">
        <v/>
      </c>
      <c r="R27" s="12" t="str">
        <v/>
      </c>
      <c r="S27" s="12" t="str">
        <f t="shared" si="2"/>
        <v/>
      </c>
    </row>
    <row r="28" spans="1:19" ht="14.45" customHeight="1" x14ac:dyDescent="0.25">
      <c r="A28" s="14"/>
      <c r="B28" s="7"/>
      <c r="C28" s="1">
        <f t="shared" si="0"/>
        <v>21</v>
      </c>
      <c r="D28" s="3" t="str">
        <v/>
      </c>
      <c r="E28" s="3"/>
      <c r="F28" s="145" t="str">
        <f t="shared" si="1"/>
        <v/>
      </c>
      <c r="G28" s="145"/>
      <c r="H28" s="145"/>
      <c r="I28" s="145"/>
      <c r="J28" s="145"/>
      <c r="K28" s="8"/>
      <c r="L28" s="20"/>
      <c r="O28" s="12" t="str">
        <v/>
      </c>
      <c r="P28" s="12" t="str">
        <v/>
      </c>
      <c r="Q28" s="12" t="str">
        <v/>
      </c>
      <c r="R28" s="12" t="str">
        <v/>
      </c>
      <c r="S28" s="12" t="str">
        <f t="shared" si="2"/>
        <v/>
      </c>
    </row>
    <row r="29" spans="1:19" ht="14.45" customHeight="1" x14ac:dyDescent="0.25">
      <c r="A29" s="14"/>
      <c r="B29" s="7"/>
      <c r="C29" s="1">
        <f t="shared" si="0"/>
        <v>22</v>
      </c>
      <c r="D29" s="3" t="str">
        <v/>
      </c>
      <c r="E29" s="3"/>
      <c r="F29" s="145" t="str">
        <f t="shared" si="1"/>
        <v/>
      </c>
      <c r="G29" s="145"/>
      <c r="H29" s="145"/>
      <c r="I29" s="145"/>
      <c r="J29" s="145"/>
      <c r="K29" s="8"/>
      <c r="L29" s="20"/>
      <c r="O29" s="12" t="str">
        <v/>
      </c>
      <c r="P29" s="12" t="str">
        <v/>
      </c>
      <c r="Q29" s="12" t="str">
        <v/>
      </c>
      <c r="R29" s="12" t="str">
        <v/>
      </c>
      <c r="S29" s="12" t="str">
        <f t="shared" si="2"/>
        <v/>
      </c>
    </row>
    <row r="30" spans="1:19" ht="14.45" customHeight="1" x14ac:dyDescent="0.25">
      <c r="A30" s="14"/>
      <c r="B30" s="7"/>
      <c r="C30" s="1">
        <f t="shared" si="0"/>
        <v>23</v>
      </c>
      <c r="D30" s="3" t="str">
        <v/>
      </c>
      <c r="E30" s="3"/>
      <c r="F30" s="145" t="str">
        <f t="shared" si="1"/>
        <v/>
      </c>
      <c r="G30" s="145"/>
      <c r="H30" s="145"/>
      <c r="I30" s="145"/>
      <c r="J30" s="145"/>
      <c r="K30" s="8"/>
      <c r="L30" s="20"/>
      <c r="O30" s="12" t="str">
        <v/>
      </c>
      <c r="P30" s="12" t="str">
        <v/>
      </c>
      <c r="Q30" s="12" t="str">
        <v/>
      </c>
      <c r="R30" s="12" t="str">
        <v/>
      </c>
      <c r="S30" s="12" t="str">
        <f t="shared" si="2"/>
        <v/>
      </c>
    </row>
    <row r="31" spans="1:19" ht="14.45" customHeight="1" x14ac:dyDescent="0.25">
      <c r="A31" s="14"/>
      <c r="B31" s="7"/>
      <c r="C31" s="1">
        <f t="shared" si="0"/>
        <v>24</v>
      </c>
      <c r="D31" s="3" t="str">
        <v/>
      </c>
      <c r="E31" s="3"/>
      <c r="F31" s="145" t="str">
        <f t="shared" si="1"/>
        <v/>
      </c>
      <c r="G31" s="145"/>
      <c r="H31" s="145"/>
      <c r="I31" s="145"/>
      <c r="J31" s="145"/>
      <c r="K31" s="8"/>
      <c r="L31" s="20"/>
      <c r="O31" s="12" t="str">
        <v/>
      </c>
      <c r="P31" s="12" t="str">
        <v/>
      </c>
      <c r="Q31" s="12" t="str">
        <v/>
      </c>
      <c r="R31" s="12" t="str">
        <v/>
      </c>
      <c r="S31" s="12" t="str">
        <f t="shared" si="2"/>
        <v/>
      </c>
    </row>
    <row r="32" spans="1:19" ht="14.45" customHeight="1" x14ac:dyDescent="0.25">
      <c r="A32" s="14"/>
      <c r="B32" s="7"/>
      <c r="C32" s="1">
        <f t="shared" si="0"/>
        <v>25</v>
      </c>
      <c r="D32" s="3" t="str">
        <v/>
      </c>
      <c r="E32" s="3"/>
      <c r="F32" s="145" t="str">
        <f t="shared" si="1"/>
        <v/>
      </c>
      <c r="G32" s="145"/>
      <c r="H32" s="145"/>
      <c r="I32" s="145"/>
      <c r="J32" s="145"/>
      <c r="K32" s="8"/>
      <c r="L32" s="20"/>
      <c r="O32" s="12" t="str">
        <v/>
      </c>
      <c r="P32" s="12" t="str">
        <v/>
      </c>
      <c r="Q32" s="12" t="str">
        <v/>
      </c>
      <c r="R32" s="12" t="str">
        <v/>
      </c>
      <c r="S32" s="12" t="str">
        <f t="shared" si="2"/>
        <v/>
      </c>
    </row>
    <row r="33" spans="1:19" ht="14.45" customHeight="1" x14ac:dyDescent="0.25">
      <c r="A33" s="14"/>
      <c r="B33" s="7"/>
      <c r="C33" s="1">
        <f t="shared" si="0"/>
        <v>26</v>
      </c>
      <c r="D33" s="3" t="str">
        <v/>
      </c>
      <c r="E33" s="3"/>
      <c r="F33" s="145" t="str">
        <f t="shared" si="1"/>
        <v/>
      </c>
      <c r="G33" s="145"/>
      <c r="H33" s="145"/>
      <c r="I33" s="145"/>
      <c r="J33" s="145"/>
      <c r="K33" s="8"/>
      <c r="L33" s="20"/>
      <c r="O33" s="12" t="str">
        <v/>
      </c>
      <c r="P33" s="12" t="str">
        <v/>
      </c>
      <c r="Q33" s="12" t="str">
        <v/>
      </c>
      <c r="R33" s="12" t="str">
        <v/>
      </c>
      <c r="S33" s="12" t="str">
        <f t="shared" si="2"/>
        <v/>
      </c>
    </row>
    <row r="34" spans="1:19" ht="14.45" customHeight="1" x14ac:dyDescent="0.25">
      <c r="A34" s="14"/>
      <c r="B34" s="7"/>
      <c r="C34" s="1">
        <f t="shared" si="0"/>
        <v>27</v>
      </c>
      <c r="D34" s="3" t="str">
        <v/>
      </c>
      <c r="E34" s="3"/>
      <c r="F34" s="145" t="str">
        <f t="shared" si="1"/>
        <v/>
      </c>
      <c r="G34" s="145"/>
      <c r="H34" s="145"/>
      <c r="I34" s="145"/>
      <c r="J34" s="145"/>
      <c r="K34" s="8"/>
      <c r="L34" s="20"/>
      <c r="O34" s="12" t="str">
        <v/>
      </c>
      <c r="P34" s="12" t="str">
        <v/>
      </c>
      <c r="Q34" s="12" t="str">
        <v/>
      </c>
      <c r="R34" s="12" t="str">
        <v/>
      </c>
      <c r="S34" s="12" t="str">
        <f t="shared" si="2"/>
        <v/>
      </c>
    </row>
    <row r="35" spans="1:19" ht="14.45" customHeight="1" x14ac:dyDescent="0.25">
      <c r="A35" s="14"/>
      <c r="B35" s="7"/>
      <c r="C35" s="1">
        <f>IF(MONTH(C34+1)&amp;YEAR(C34+1)=MONTH(C$7)&amp;YEAR(C$7),C34+1,"")</f>
        <v>28</v>
      </c>
      <c r="D35" s="3" t="str">
        <v/>
      </c>
      <c r="E35" s="3"/>
      <c r="F35" s="145" t="str">
        <f t="shared" si="1"/>
        <v/>
      </c>
      <c r="G35" s="145"/>
      <c r="H35" s="145"/>
      <c r="I35" s="145"/>
      <c r="J35" s="145"/>
      <c r="K35" s="8"/>
      <c r="L35" s="20"/>
      <c r="O35" s="12" t="str">
        <v/>
      </c>
      <c r="P35" s="12" t="str">
        <v/>
      </c>
      <c r="Q35" s="12" t="str">
        <v/>
      </c>
      <c r="R35" s="12" t="str">
        <v/>
      </c>
      <c r="S35" s="12" t="str">
        <f t="shared" si="2"/>
        <v/>
      </c>
    </row>
    <row r="36" spans="1:19" ht="14.45" customHeight="1" x14ac:dyDescent="0.25">
      <c r="A36" s="14"/>
      <c r="B36" s="7"/>
      <c r="C36" s="1">
        <f>IF(MONTH(C34+2)&amp;YEAR(C34+2)=MONTH(C$7)&amp;YEAR(C$7),C35+1,"")</f>
        <v>29</v>
      </c>
      <c r="D36" s="3" t="str">
        <v/>
      </c>
      <c r="E36" s="3"/>
      <c r="F36" s="145" t="str">
        <f t="shared" si="1"/>
        <v/>
      </c>
      <c r="G36" s="145"/>
      <c r="H36" s="145"/>
      <c r="I36" s="145"/>
      <c r="J36" s="145"/>
      <c r="K36" s="8"/>
      <c r="L36" s="20"/>
      <c r="O36" s="12" t="str">
        <v/>
      </c>
      <c r="P36" s="12" t="str">
        <v/>
      </c>
      <c r="Q36" s="12" t="str">
        <v/>
      </c>
      <c r="R36" s="12" t="str">
        <v/>
      </c>
      <c r="S36" s="12" t="str">
        <f t="shared" si="2"/>
        <v/>
      </c>
    </row>
    <row r="37" spans="1:19" ht="14.45" customHeight="1" x14ac:dyDescent="0.25">
      <c r="A37" s="14"/>
      <c r="B37" s="7"/>
      <c r="C37" s="1">
        <f>IF(MONTH(C34+3)&amp;YEAR(C34+3)=MONTH(C$7)&amp;YEAR(C$7),C36+1,"")</f>
        <v>30</v>
      </c>
      <c r="D37" s="3" t="str">
        <v/>
      </c>
      <c r="E37" s="3"/>
      <c r="F37" s="145" t="str">
        <f t="shared" si="1"/>
        <v/>
      </c>
      <c r="G37" s="145"/>
      <c r="H37" s="145"/>
      <c r="I37" s="145"/>
      <c r="J37" s="145"/>
      <c r="K37" s="8"/>
      <c r="L37" s="20"/>
      <c r="O37" s="12" t="str">
        <v/>
      </c>
      <c r="P37" s="12" t="str">
        <v/>
      </c>
      <c r="Q37" s="12" t="str">
        <v/>
      </c>
      <c r="R37" s="12" t="str">
        <v/>
      </c>
      <c r="S37" s="12" t="str">
        <f t="shared" si="2"/>
        <v/>
      </c>
    </row>
    <row r="38" spans="1:19" ht="8.25" customHeight="1" x14ac:dyDescent="0.25">
      <c r="A38" s="14"/>
      <c r="B38" s="10"/>
      <c r="C38" s="2"/>
      <c r="D38" s="2"/>
      <c r="E38" s="2"/>
      <c r="F38" s="2"/>
      <c r="G38" s="2"/>
      <c r="H38" s="2"/>
      <c r="I38" s="2"/>
      <c r="J38" s="2"/>
      <c r="K38" s="11"/>
      <c r="L38" s="20"/>
    </row>
    <row r="39" spans="1:19" ht="9.75" customHeight="1" x14ac:dyDescent="0.25">
      <c r="A39" s="14"/>
      <c r="B39" s="15"/>
      <c r="C39" s="16"/>
      <c r="D39" s="16"/>
      <c r="E39" s="16"/>
      <c r="F39" s="16"/>
      <c r="G39" s="16"/>
      <c r="H39" s="16"/>
      <c r="I39" s="16"/>
      <c r="J39" s="16"/>
      <c r="K39" s="21"/>
      <c r="L39" s="20"/>
    </row>
    <row r="40" spans="1:19" ht="22.5" customHeight="1" x14ac:dyDescent="0.25">
      <c r="A40" s="8"/>
      <c r="B40" s="7"/>
      <c r="D40" s="141">
        <f>SUM(D7:D37)</f>
        <v>0</v>
      </c>
      <c r="E40" s="142"/>
      <c r="F40" s="143" t="s">
        <v>13</v>
      </c>
      <c r="G40" s="144"/>
      <c r="H40" s="144"/>
      <c r="I40" s="144"/>
      <c r="J40" s="144"/>
      <c r="K40" s="8"/>
      <c r="L40" s="7"/>
    </row>
    <row r="41" spans="1:19" ht="9" customHeight="1" x14ac:dyDescent="0.25">
      <c r="A41" s="14"/>
      <c r="B41" s="18"/>
      <c r="C41" s="13"/>
      <c r="D41" s="13"/>
      <c r="E41" s="13"/>
      <c r="F41" s="13"/>
      <c r="G41" s="13"/>
      <c r="H41" s="13"/>
      <c r="I41" s="13"/>
      <c r="J41" s="13"/>
      <c r="K41" s="22"/>
      <c r="L41" s="20"/>
    </row>
    <row r="42" spans="1:19" ht="9.75" customHeight="1" x14ac:dyDescent="0.25">
      <c r="A42" s="14"/>
      <c r="B42" s="15"/>
      <c r="C42" s="16"/>
      <c r="D42" s="16"/>
      <c r="E42" s="16"/>
      <c r="F42" s="16"/>
      <c r="G42" s="16"/>
      <c r="H42" s="16"/>
      <c r="I42" s="16"/>
      <c r="J42" s="16"/>
      <c r="K42" s="21"/>
      <c r="L42" s="20"/>
    </row>
    <row r="43" spans="1:19" ht="15" x14ac:dyDescent="0.25">
      <c r="A43" s="14"/>
      <c r="B43" s="20"/>
      <c r="C43" s="153" t="s">
        <v>14</v>
      </c>
      <c r="D43" s="153"/>
      <c r="H43" s="154" t="s">
        <v>15</v>
      </c>
      <c r="I43" s="155"/>
      <c r="J43" s="155"/>
      <c r="K43" s="31"/>
      <c r="L43" s="20"/>
    </row>
    <row r="44" spans="1:19" ht="15.75" x14ac:dyDescent="0.25">
      <c r="A44" s="14"/>
      <c r="B44" s="20"/>
      <c r="C44" s="138"/>
      <c r="D44" s="138"/>
      <c r="E44" s="138"/>
      <c r="F44" s="138"/>
      <c r="G44" s="101"/>
      <c r="H44" s="156" t="s">
        <v>16</v>
      </c>
      <c r="I44" s="157"/>
      <c r="J44" s="157"/>
      <c r="K44" s="32"/>
      <c r="L44" s="20"/>
    </row>
    <row r="45" spans="1:19" ht="15.75" x14ac:dyDescent="0.25">
      <c r="A45" s="14"/>
      <c r="B45" s="20"/>
      <c r="C45" s="138"/>
      <c r="D45" s="138"/>
      <c r="E45" s="138"/>
      <c r="F45" s="138"/>
      <c r="G45" s="101"/>
      <c r="H45" s="146" t="s">
        <v>17</v>
      </c>
      <c r="I45" s="147"/>
      <c r="J45" s="147"/>
      <c r="K45" s="33"/>
      <c r="L45" s="20"/>
    </row>
    <row r="46" spans="1:19" ht="55.5" customHeight="1" x14ac:dyDescent="0.25">
      <c r="A46" s="14"/>
      <c r="B46" s="20"/>
      <c r="C46" s="138"/>
      <c r="D46" s="138"/>
      <c r="E46" s="138"/>
      <c r="F46" s="138"/>
      <c r="G46" s="101"/>
      <c r="H46" s="148" t="s">
        <v>18</v>
      </c>
      <c r="I46" s="147"/>
      <c r="J46" s="147"/>
      <c r="K46" s="33"/>
      <c r="L46" s="20"/>
    </row>
    <row r="47" spans="1:19" ht="15" x14ac:dyDescent="0.25">
      <c r="A47" s="14"/>
      <c r="B47" s="18"/>
      <c r="C47" s="13"/>
      <c r="D47" s="13"/>
      <c r="E47" s="13"/>
      <c r="F47" s="13"/>
      <c r="G47" s="13"/>
      <c r="H47" s="29"/>
      <c r="I47" s="29"/>
      <c r="J47" s="29"/>
      <c r="K47" s="22"/>
      <c r="L47" s="20"/>
    </row>
    <row r="48" spans="1:19" ht="15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ht="12.75" hidden="1" customHeight="1" x14ac:dyDescent="0.25"/>
    <row r="50" ht="12.75" hidden="1" customHeight="1" x14ac:dyDescent="0.25"/>
  </sheetData>
  <mergeCells count="43">
    <mergeCell ref="H45:J45"/>
    <mergeCell ref="H46:J46"/>
    <mergeCell ref="D2:K2"/>
    <mergeCell ref="D3:K3"/>
    <mergeCell ref="C43:D43"/>
    <mergeCell ref="F36:J36"/>
    <mergeCell ref="F37:J37"/>
    <mergeCell ref="H43:J43"/>
    <mergeCell ref="H44:J44"/>
    <mergeCell ref="F30:J30"/>
    <mergeCell ref="F31:J31"/>
    <mergeCell ref="F32:J32"/>
    <mergeCell ref="F33:J33"/>
    <mergeCell ref="F22:J22"/>
    <mergeCell ref="F34:J34"/>
    <mergeCell ref="F35:J35"/>
    <mergeCell ref="F29:J29"/>
    <mergeCell ref="F17:J17"/>
    <mergeCell ref="F18:J18"/>
    <mergeCell ref="F19:J19"/>
    <mergeCell ref="F20:J20"/>
    <mergeCell ref="F21:J21"/>
    <mergeCell ref="F24:J24"/>
    <mergeCell ref="F25:J25"/>
    <mergeCell ref="F26:J26"/>
    <mergeCell ref="F27:J27"/>
    <mergeCell ref="F28:J28"/>
    <mergeCell ref="C44:F46"/>
    <mergeCell ref="D4:F4"/>
    <mergeCell ref="I4:J4"/>
    <mergeCell ref="D40:E40"/>
    <mergeCell ref="F40:J40"/>
    <mergeCell ref="F7:J7"/>
    <mergeCell ref="F8:J8"/>
    <mergeCell ref="F9:J9"/>
    <mergeCell ref="F10:J10"/>
    <mergeCell ref="F11:J11"/>
    <mergeCell ref="F23:J23"/>
    <mergeCell ref="F12:J12"/>
    <mergeCell ref="F13:J13"/>
    <mergeCell ref="F14:J14"/>
    <mergeCell ref="F15:J15"/>
    <mergeCell ref="F16:J16"/>
  </mergeCells>
  <conditionalFormatting sqref="C7">
    <cfRule type="expression" dxfId="2" priority="1">
      <formula>ISBLANK(C7)</formula>
    </cfRule>
  </conditionalFormatting>
  <conditionalFormatting sqref="C7:J37">
    <cfRule type="expression" dxfId="1" priority="2" stopIfTrue="1">
      <formula>OR(WEEKDAY($C7)=7,WEEKDAY($C7)=1)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8CF1-8051-41F5-B1AE-36E45401E4F1}">
  <dimension ref="A1:N44"/>
  <sheetViews>
    <sheetView workbookViewId="0">
      <selection activeCell="F43" sqref="F43"/>
    </sheetView>
  </sheetViews>
  <sheetFormatPr defaultColWidth="0" defaultRowHeight="15" zeroHeight="1" x14ac:dyDescent="0.25"/>
  <cols>
    <col min="1" max="1" width="3.140625" style="34" customWidth="1"/>
    <col min="2" max="2" width="11.5703125" style="34" bestFit="1" customWidth="1"/>
    <col min="3" max="3" width="26.85546875" style="34" customWidth="1"/>
    <col min="4" max="4" width="10.85546875" style="34" customWidth="1"/>
    <col min="5" max="5" width="10.7109375" style="34" customWidth="1"/>
    <col min="6" max="6" width="16.28515625" style="34" customWidth="1"/>
    <col min="7" max="7" width="9.28515625" style="34" customWidth="1"/>
    <col min="8" max="8" width="4" style="34" customWidth="1"/>
    <col min="9" max="16384" width="9.140625" style="34" hidden="1"/>
  </cols>
  <sheetData>
    <row r="1" spans="2:12" x14ac:dyDescent="0.25"/>
    <row r="2" spans="2:12" ht="26.25" x14ac:dyDescent="0.4">
      <c r="B2" s="165">
        <f>Configuration!D13</f>
        <v>0</v>
      </c>
      <c r="C2" s="166"/>
      <c r="D2" s="166"/>
      <c r="E2" s="166"/>
      <c r="F2" s="166"/>
      <c r="G2" s="167"/>
    </row>
    <row r="3" spans="2:12" x14ac:dyDescent="0.25"/>
    <row r="4" spans="2:12" ht="18.75" x14ac:dyDescent="0.3">
      <c r="B4" s="76" t="s">
        <v>21</v>
      </c>
      <c r="C4" s="77" t="str">
        <f>Configuration!D14</f>
        <v>Delcoigne</v>
      </c>
      <c r="D4" s="78"/>
      <c r="E4" s="78"/>
      <c r="F4" s="78"/>
      <c r="G4" s="79"/>
    </row>
    <row r="5" spans="2:12" ht="18.75" x14ac:dyDescent="0.3">
      <c r="B5" s="80" t="s">
        <v>22</v>
      </c>
      <c r="C5" s="81" t="str">
        <f>Configuration!D15</f>
        <v>Vincent</v>
      </c>
      <c r="G5" s="82"/>
    </row>
    <row r="6" spans="2:12" ht="18.75" x14ac:dyDescent="0.3">
      <c r="B6" s="80" t="s">
        <v>32</v>
      </c>
      <c r="C6" s="83" t="str">
        <f>Configuration!D16</f>
        <v>Externe</v>
      </c>
      <c r="G6" s="84"/>
      <c r="L6" s="34" t="b">
        <f>Configuration!D16=Configuration!D34</f>
        <v>0</v>
      </c>
    </row>
    <row r="7" spans="2:12" ht="18.75" x14ac:dyDescent="0.3">
      <c r="B7" s="80" t="s">
        <v>20</v>
      </c>
      <c r="C7" s="83" t="str">
        <f>Configuration!D17</f>
        <v>Wavenet</v>
      </c>
      <c r="G7" s="85"/>
    </row>
    <row r="8" spans="2:12" ht="18.75" x14ac:dyDescent="0.3">
      <c r="B8" s="86" t="s">
        <v>34</v>
      </c>
      <c r="C8" s="87">
        <f>Configuration!D19</f>
        <v>0.33333333333333337</v>
      </c>
      <c r="D8" s="88"/>
      <c r="E8" s="88"/>
      <c r="F8" s="88"/>
      <c r="G8" s="89"/>
    </row>
    <row r="9" spans="2:12" ht="15.75" x14ac:dyDescent="0.25">
      <c r="C9" s="71"/>
      <c r="D9" s="71"/>
    </row>
    <row r="10" spans="2:12" ht="15.75" thickBot="1" x14ac:dyDescent="0.3"/>
    <row r="11" spans="2:12" ht="15.75" thickBot="1" x14ac:dyDescent="0.3">
      <c r="E11" s="72" t="s">
        <v>11</v>
      </c>
      <c r="F11" s="93" t="s">
        <v>33</v>
      </c>
      <c r="G11" s="73" t="s">
        <v>35</v>
      </c>
      <c r="K11" s="34" t="s">
        <v>2</v>
      </c>
      <c r="L11" s="34" t="s">
        <v>39</v>
      </c>
    </row>
    <row r="12" spans="2:12" ht="15.75" thickBot="1" x14ac:dyDescent="0.3">
      <c r="B12" s="90"/>
      <c r="C12" s="120" t="s">
        <v>92</v>
      </c>
      <c r="D12" s="162"/>
      <c r="E12" s="74" t="str">
        <f>IF(L12,SUM(Prestations!D3:AH6),"")</f>
        <v/>
      </c>
      <c r="F12" s="114" t="str">
        <f>IF(L12,E12/C$8,"")</f>
        <v/>
      </c>
      <c r="G12" s="103" t="str">
        <f>IF(AND(L12,L$6),E12/E$43,"")</f>
        <v/>
      </c>
      <c r="K12" s="34">
        <f>SUM(Prestations!D3:AH6)</f>
        <v>0</v>
      </c>
      <c r="L12" s="34" t="b">
        <f>K12&gt;0</f>
        <v>0</v>
      </c>
    </row>
    <row r="13" spans="2:12" x14ac:dyDescent="0.25">
      <c r="B13" s="104" t="str">
        <f>IF(ISBLANK(Prestations!B7),"",Prestations!B7)</f>
        <v>BOHRXML</v>
      </c>
      <c r="C13" s="168" t="str">
        <f>Prestations!C7</f>
        <v>Back Office HRXML</v>
      </c>
      <c r="D13" s="169"/>
      <c r="E13" s="105" t="str">
        <f>IF(L13,SUM(Prestations!D7:AH7),"")</f>
        <v/>
      </c>
      <c r="F13" s="115" t="str">
        <f>IF(L13,E13/C$8,"")</f>
        <v/>
      </c>
      <c r="G13" s="106" t="str">
        <f>IF(L13,E13/E$43,"")</f>
        <v/>
      </c>
      <c r="K13" s="34">
        <f>SUM(Prestations!D7:AH7)</f>
        <v>0</v>
      </c>
      <c r="L13" s="34" t="b">
        <f t="shared" ref="L13" si="0">K13&gt;0</f>
        <v>0</v>
      </c>
    </row>
    <row r="14" spans="2:12" x14ac:dyDescent="0.25">
      <c r="B14" s="107" t="str">
        <f>IF(ISBLANK(Prestations!B8),"",Prestations!B8)</f>
        <v>C107-01</v>
      </c>
      <c r="C14" s="158" t="str">
        <f>Prestations!C8</f>
        <v>CRM</v>
      </c>
      <c r="D14" s="159"/>
      <c r="E14" s="108" t="str">
        <f>IF(L14,SUM(Prestations!D8:AH8),"")</f>
        <v/>
      </c>
      <c r="F14" s="116" t="str">
        <f t="shared" ref="F14:F41" si="1">IF(L14,E14/C$8,"")</f>
        <v/>
      </c>
      <c r="G14" s="109" t="str">
        <f t="shared" ref="G14:G41" si="2">IF(L14,E14/E$43,"")</f>
        <v/>
      </c>
      <c r="K14" s="34">
        <f>SUM(Prestations!D8:AH8)</f>
        <v>0</v>
      </c>
      <c r="L14" s="34" t="b">
        <f t="shared" ref="L14:L41" si="3">K14&gt;0</f>
        <v>0</v>
      </c>
    </row>
    <row r="15" spans="2:12" x14ac:dyDescent="0.25">
      <c r="B15" s="107" t="str">
        <f>IF(ISBLANK(Prestations!B9),"",Prestations!B9)</f>
        <v>C032-02</v>
      </c>
      <c r="C15" s="158" t="str">
        <f>Prestations!C9</f>
        <v>Dossier unique - Employeur</v>
      </c>
      <c r="D15" s="159"/>
      <c r="E15" s="108" t="str">
        <f>IF(L15,SUM(Prestations!D9:AH9),"")</f>
        <v/>
      </c>
      <c r="F15" s="116" t="str">
        <f t="shared" si="1"/>
        <v/>
      </c>
      <c r="G15" s="109" t="str">
        <f t="shared" si="2"/>
        <v/>
      </c>
      <c r="K15" s="34">
        <f>SUM(Prestations!D9:AH9)</f>
        <v>0</v>
      </c>
      <c r="L15" s="34" t="b">
        <f t="shared" si="3"/>
        <v>0</v>
      </c>
    </row>
    <row r="16" spans="2:12" x14ac:dyDescent="0.25">
      <c r="B16" s="107" t="str">
        <f>IF(ISBLANK(Prestations!B10),"",Prestations!B10)</f>
        <v>AUTRE</v>
      </c>
      <c r="C16" s="158" t="str">
        <f>Prestations!C10</f>
        <v>OffresInsertion</v>
      </c>
      <c r="D16" s="159"/>
      <c r="E16" s="108" t="str">
        <f>IF(L16,SUM(Prestations!D10:AH10),"")</f>
        <v/>
      </c>
      <c r="F16" s="116" t="str">
        <f t="shared" si="1"/>
        <v/>
      </c>
      <c r="G16" s="109" t="str">
        <f t="shared" si="2"/>
        <v/>
      </c>
      <c r="K16" s="34">
        <f>SUM(Prestations!D10:AH10)</f>
        <v>0</v>
      </c>
      <c r="L16" s="34" t="b">
        <f t="shared" si="3"/>
        <v>0</v>
      </c>
    </row>
    <row r="17" spans="2:12" x14ac:dyDescent="0.25">
      <c r="B17" s="107" t="str">
        <f>IF(ISBLANK(Prestations!B11),"",Prestations!B11)</f>
        <v/>
      </c>
      <c r="C17" s="158" t="str">
        <f>Prestations!C11</f>
        <v/>
      </c>
      <c r="D17" s="159"/>
      <c r="E17" s="108" t="str">
        <f>IF(L17,SUM(Prestations!D11:AH11),"")</f>
        <v/>
      </c>
      <c r="F17" s="116" t="str">
        <f t="shared" si="1"/>
        <v/>
      </c>
      <c r="G17" s="109" t="str">
        <f t="shared" si="2"/>
        <v/>
      </c>
      <c r="K17" s="34">
        <f>SUM(Prestations!D11:AH11)</f>
        <v>0</v>
      </c>
      <c r="L17" s="34" t="b">
        <f t="shared" si="3"/>
        <v>0</v>
      </c>
    </row>
    <row r="18" spans="2:12" x14ac:dyDescent="0.25">
      <c r="B18" s="107" t="str">
        <f>IF(ISBLANK(Prestations!B12),"",Prestations!B12)</f>
        <v/>
      </c>
      <c r="C18" s="158" t="str">
        <f>Prestations!C12</f>
        <v/>
      </c>
      <c r="D18" s="159"/>
      <c r="E18" s="108" t="str">
        <f>IF(L18,SUM(Prestations!D12:AH12),"")</f>
        <v/>
      </c>
      <c r="F18" s="116" t="str">
        <f t="shared" si="1"/>
        <v/>
      </c>
      <c r="G18" s="109" t="str">
        <f t="shared" si="2"/>
        <v/>
      </c>
      <c r="K18" s="34">
        <f>SUM(Prestations!D12:AH12)</f>
        <v>0</v>
      </c>
      <c r="L18" s="34" t="b">
        <f t="shared" si="3"/>
        <v>0</v>
      </c>
    </row>
    <row r="19" spans="2:12" x14ac:dyDescent="0.25">
      <c r="B19" s="107" t="str">
        <f>IF(ISBLANK(Prestations!B13),"",Prestations!B13)</f>
        <v/>
      </c>
      <c r="C19" s="158" t="str">
        <f>Prestations!C13</f>
        <v/>
      </c>
      <c r="D19" s="159"/>
      <c r="E19" s="108" t="str">
        <f>IF(L19,SUM(Prestations!D13:AH13),"")</f>
        <v/>
      </c>
      <c r="F19" s="116" t="str">
        <f t="shared" si="1"/>
        <v/>
      </c>
      <c r="G19" s="109" t="str">
        <f t="shared" si="2"/>
        <v/>
      </c>
      <c r="K19" s="34">
        <f>SUM(Prestations!D13:AH13)</f>
        <v>0</v>
      </c>
      <c r="L19" s="34" t="b">
        <f t="shared" si="3"/>
        <v>0</v>
      </c>
    </row>
    <row r="20" spans="2:12" x14ac:dyDescent="0.25">
      <c r="B20" s="107" t="str">
        <f>IF(ISBLANK(Prestations!B14),"",Prestations!B14)</f>
        <v/>
      </c>
      <c r="C20" s="158" t="str">
        <f>Prestations!C14</f>
        <v/>
      </c>
      <c r="D20" s="159"/>
      <c r="E20" s="108" t="str">
        <f>IF(L20,SUM(Prestations!D14:AH14),"")</f>
        <v/>
      </c>
      <c r="F20" s="116" t="str">
        <f t="shared" si="1"/>
        <v/>
      </c>
      <c r="G20" s="109" t="str">
        <f t="shared" si="2"/>
        <v/>
      </c>
      <c r="K20" s="34">
        <f>SUM(Prestations!D14:AH14)</f>
        <v>0</v>
      </c>
      <c r="L20" s="34" t="b">
        <f t="shared" si="3"/>
        <v>0</v>
      </c>
    </row>
    <row r="21" spans="2:12" x14ac:dyDescent="0.25">
      <c r="B21" s="107" t="str">
        <f>IF(ISBLANK(Prestations!B15),"",Prestations!B15)</f>
        <v/>
      </c>
      <c r="C21" s="158" t="str">
        <f>Prestations!C15</f>
        <v/>
      </c>
      <c r="D21" s="159"/>
      <c r="E21" s="108" t="str">
        <f>IF(L21,SUM(Prestations!D15:AH15),"")</f>
        <v/>
      </c>
      <c r="F21" s="116" t="str">
        <f t="shared" si="1"/>
        <v/>
      </c>
      <c r="G21" s="109" t="str">
        <f t="shared" si="2"/>
        <v/>
      </c>
      <c r="K21" s="34">
        <f>SUM(Prestations!D15:AH15)</f>
        <v>0</v>
      </c>
      <c r="L21" s="34" t="b">
        <f t="shared" si="3"/>
        <v>0</v>
      </c>
    </row>
    <row r="22" spans="2:12" x14ac:dyDescent="0.25">
      <c r="B22" s="107" t="str">
        <f>IF(ISBLANK(Prestations!B16),"",Prestations!B16)</f>
        <v/>
      </c>
      <c r="C22" s="158" t="str">
        <f>Prestations!C16</f>
        <v/>
      </c>
      <c r="D22" s="159"/>
      <c r="E22" s="108" t="str">
        <f>IF(L22,SUM(Prestations!D16:AH16),"")</f>
        <v/>
      </c>
      <c r="F22" s="116" t="str">
        <f t="shared" si="1"/>
        <v/>
      </c>
      <c r="G22" s="109" t="str">
        <f t="shared" si="2"/>
        <v/>
      </c>
      <c r="K22" s="34">
        <f>SUM(Prestations!D16:AH16)</f>
        <v>0</v>
      </c>
      <c r="L22" s="34" t="b">
        <f t="shared" si="3"/>
        <v>0</v>
      </c>
    </row>
    <row r="23" spans="2:12" x14ac:dyDescent="0.25">
      <c r="B23" s="107" t="str">
        <f>IF(ISBLANK(Prestations!B17),"",Prestations!B17)</f>
        <v/>
      </c>
      <c r="C23" s="158" t="str">
        <f>Prestations!C17</f>
        <v/>
      </c>
      <c r="D23" s="159"/>
      <c r="E23" s="108" t="str">
        <f>IF(L23,SUM(Prestations!D17:AH17),"")</f>
        <v/>
      </c>
      <c r="F23" s="116" t="str">
        <f t="shared" si="1"/>
        <v/>
      </c>
      <c r="G23" s="109" t="str">
        <f t="shared" si="2"/>
        <v/>
      </c>
      <c r="K23" s="34">
        <f>SUM(Prestations!D17:AH17)</f>
        <v>0</v>
      </c>
      <c r="L23" s="34" t="b">
        <f t="shared" si="3"/>
        <v>0</v>
      </c>
    </row>
    <row r="24" spans="2:12" x14ac:dyDescent="0.25">
      <c r="B24" s="107" t="str">
        <f>IF(ISBLANK(Prestations!B18),"",Prestations!B18)</f>
        <v/>
      </c>
      <c r="C24" s="158" t="str">
        <f>Prestations!C18</f>
        <v/>
      </c>
      <c r="D24" s="159"/>
      <c r="E24" s="108" t="str">
        <f>IF(L24,SUM(Prestations!D18:AH18),"")</f>
        <v/>
      </c>
      <c r="F24" s="116" t="str">
        <f t="shared" si="1"/>
        <v/>
      </c>
      <c r="G24" s="109" t="str">
        <f t="shared" si="2"/>
        <v/>
      </c>
      <c r="K24" s="34">
        <f>SUM(Prestations!D18:AH18)</f>
        <v>0</v>
      </c>
      <c r="L24" s="34" t="b">
        <f t="shared" si="3"/>
        <v>0</v>
      </c>
    </row>
    <row r="25" spans="2:12" x14ac:dyDescent="0.25">
      <c r="B25" s="107" t="str">
        <f>IF(ISBLANK(Prestations!B19),"",Prestations!B19)</f>
        <v/>
      </c>
      <c r="C25" s="158" t="str">
        <f>Prestations!C19</f>
        <v/>
      </c>
      <c r="D25" s="159"/>
      <c r="E25" s="108" t="str">
        <f>IF(L25,SUM(Prestations!D19:AH19),"")</f>
        <v/>
      </c>
      <c r="F25" s="116" t="str">
        <f t="shared" si="1"/>
        <v/>
      </c>
      <c r="G25" s="109" t="str">
        <f t="shared" si="2"/>
        <v/>
      </c>
      <c r="K25" s="34">
        <f>SUM(Prestations!D19:AH19)</f>
        <v>0</v>
      </c>
      <c r="L25" s="34" t="b">
        <f t="shared" si="3"/>
        <v>0</v>
      </c>
    </row>
    <row r="26" spans="2:12" x14ac:dyDescent="0.25">
      <c r="B26" s="107" t="str">
        <f>IF(ISBLANK(Prestations!B20),"",Prestations!B20)</f>
        <v/>
      </c>
      <c r="C26" s="158" t="str">
        <f>Prestations!C20</f>
        <v/>
      </c>
      <c r="D26" s="159"/>
      <c r="E26" s="108" t="str">
        <f>IF(L26,SUM(Prestations!D20:AH20),"")</f>
        <v/>
      </c>
      <c r="F26" s="116" t="str">
        <f t="shared" si="1"/>
        <v/>
      </c>
      <c r="G26" s="109" t="str">
        <f t="shared" si="2"/>
        <v/>
      </c>
      <c r="K26" s="34">
        <f>SUM(Prestations!D20:AH20)</f>
        <v>0</v>
      </c>
      <c r="L26" s="34" t="b">
        <f t="shared" si="3"/>
        <v>0</v>
      </c>
    </row>
    <row r="27" spans="2:12" x14ac:dyDescent="0.25">
      <c r="B27" s="107" t="str">
        <f>IF(ISBLANK(Prestations!B21),"",Prestations!B21)</f>
        <v/>
      </c>
      <c r="C27" s="158" t="str">
        <f>Prestations!C21</f>
        <v/>
      </c>
      <c r="D27" s="159"/>
      <c r="E27" s="108" t="str">
        <f>IF(L27,SUM(Prestations!D21:AH21),"")</f>
        <v/>
      </c>
      <c r="F27" s="116" t="str">
        <f t="shared" si="1"/>
        <v/>
      </c>
      <c r="G27" s="109" t="str">
        <f t="shared" si="2"/>
        <v/>
      </c>
      <c r="K27" s="34">
        <f>SUM(Prestations!D21:AH21)</f>
        <v>0</v>
      </c>
      <c r="L27" s="34" t="b">
        <f t="shared" si="3"/>
        <v>0</v>
      </c>
    </row>
    <row r="28" spans="2:12" x14ac:dyDescent="0.25">
      <c r="B28" s="107" t="str">
        <f>IF(ISBLANK(Prestations!B22),"",Prestations!B22)</f>
        <v/>
      </c>
      <c r="C28" s="158" t="str">
        <f>Prestations!C22</f>
        <v/>
      </c>
      <c r="D28" s="159"/>
      <c r="E28" s="108" t="str">
        <f>IF(L28,SUM(Prestations!D22:AH22),"")</f>
        <v/>
      </c>
      <c r="F28" s="116" t="str">
        <f t="shared" si="1"/>
        <v/>
      </c>
      <c r="G28" s="109" t="str">
        <f t="shared" si="2"/>
        <v/>
      </c>
      <c r="K28" s="34">
        <f>SUM(Prestations!D22:AH22)</f>
        <v>0</v>
      </c>
      <c r="L28" s="34" t="b">
        <f t="shared" si="3"/>
        <v>0</v>
      </c>
    </row>
    <row r="29" spans="2:12" x14ac:dyDescent="0.25">
      <c r="B29" s="107" t="str">
        <f>IF(ISBLANK(Prestations!B23),"",Prestations!B23)</f>
        <v/>
      </c>
      <c r="C29" s="158" t="str">
        <f>Prestations!C23</f>
        <v/>
      </c>
      <c r="D29" s="159"/>
      <c r="E29" s="108" t="str">
        <f>IF(L29,SUM(Prestations!D23:AH23),"")</f>
        <v/>
      </c>
      <c r="F29" s="116" t="str">
        <f t="shared" si="1"/>
        <v/>
      </c>
      <c r="G29" s="109" t="str">
        <f t="shared" si="2"/>
        <v/>
      </c>
      <c r="K29" s="34">
        <f>SUM(Prestations!D23:AH23)</f>
        <v>0</v>
      </c>
      <c r="L29" s="34" t="b">
        <f t="shared" si="3"/>
        <v>0</v>
      </c>
    </row>
    <row r="30" spans="2:12" x14ac:dyDescent="0.25">
      <c r="B30" s="107" t="str">
        <f>IF(ISBLANK(Prestations!B24),"",Prestations!B24)</f>
        <v/>
      </c>
      <c r="C30" s="158" t="str">
        <f>Prestations!C24</f>
        <v/>
      </c>
      <c r="D30" s="159"/>
      <c r="E30" s="108" t="str">
        <f>IF(L30,SUM(Prestations!D24:AH24),"")</f>
        <v/>
      </c>
      <c r="F30" s="116" t="str">
        <f t="shared" si="1"/>
        <v/>
      </c>
      <c r="G30" s="109" t="str">
        <f t="shared" si="2"/>
        <v/>
      </c>
      <c r="K30" s="34">
        <f>SUM(Prestations!D24:AH24)</f>
        <v>0</v>
      </c>
      <c r="L30" s="34" t="b">
        <f t="shared" si="3"/>
        <v>0</v>
      </c>
    </row>
    <row r="31" spans="2:12" x14ac:dyDescent="0.25">
      <c r="B31" s="107" t="str">
        <f>IF(ISBLANK(Prestations!B25),"",Prestations!B25)</f>
        <v/>
      </c>
      <c r="C31" s="158" t="str">
        <f>Prestations!C25</f>
        <v/>
      </c>
      <c r="D31" s="159"/>
      <c r="E31" s="108" t="str">
        <f>IF(L31,SUM(Prestations!D25:AH25),"")</f>
        <v/>
      </c>
      <c r="F31" s="116" t="str">
        <f t="shared" si="1"/>
        <v/>
      </c>
      <c r="G31" s="109" t="str">
        <f t="shared" si="2"/>
        <v/>
      </c>
      <c r="K31" s="34">
        <f>SUM(Prestations!D25:AH25)</f>
        <v>0</v>
      </c>
      <c r="L31" s="34" t="b">
        <f t="shared" si="3"/>
        <v>0</v>
      </c>
    </row>
    <row r="32" spans="2:12" x14ac:dyDescent="0.25">
      <c r="B32" s="107" t="str">
        <f>IF(ISBLANK(Prestations!B26),"",Prestations!B26)</f>
        <v/>
      </c>
      <c r="C32" s="158" t="str">
        <f>Prestations!C26</f>
        <v/>
      </c>
      <c r="D32" s="159"/>
      <c r="E32" s="108" t="str">
        <f>IF(L32,SUM(Prestations!D26:AH26),"")</f>
        <v/>
      </c>
      <c r="F32" s="116" t="str">
        <f t="shared" si="1"/>
        <v/>
      </c>
      <c r="G32" s="109" t="str">
        <f t="shared" si="2"/>
        <v/>
      </c>
      <c r="K32" s="34">
        <f>SUM(Prestations!D26:AH26)</f>
        <v>0</v>
      </c>
      <c r="L32" s="34" t="b">
        <f t="shared" si="3"/>
        <v>0</v>
      </c>
    </row>
    <row r="33" spans="2:14" x14ac:dyDescent="0.25">
      <c r="B33" s="107" t="str">
        <f>IF(ISBLANK(Prestations!B27),"",Prestations!B27)</f>
        <v/>
      </c>
      <c r="C33" s="158" t="str">
        <f>Prestations!C27</f>
        <v/>
      </c>
      <c r="D33" s="159"/>
      <c r="E33" s="108" t="str">
        <f>IF(L33,SUM(Prestations!D27:AH27),"")</f>
        <v/>
      </c>
      <c r="F33" s="116" t="str">
        <f t="shared" si="1"/>
        <v/>
      </c>
      <c r="G33" s="109" t="str">
        <f t="shared" si="2"/>
        <v/>
      </c>
      <c r="K33" s="34">
        <f>SUM(Prestations!D27:AH27)</f>
        <v>0</v>
      </c>
      <c r="L33" s="34" t="b">
        <f t="shared" si="3"/>
        <v>0</v>
      </c>
    </row>
    <row r="34" spans="2:14" x14ac:dyDescent="0.25">
      <c r="B34" s="107" t="str">
        <f>IF(ISBLANK(Prestations!B28),"",Prestations!B28)</f>
        <v/>
      </c>
      <c r="C34" s="158" t="str">
        <f>Prestations!C28</f>
        <v/>
      </c>
      <c r="D34" s="159"/>
      <c r="E34" s="108" t="str">
        <f>IF(L34,SUM(Prestations!D28:AH28),"")</f>
        <v/>
      </c>
      <c r="F34" s="116" t="str">
        <f t="shared" si="1"/>
        <v/>
      </c>
      <c r="G34" s="109" t="str">
        <f t="shared" si="2"/>
        <v/>
      </c>
      <c r="K34" s="34">
        <f>SUM(Prestations!D28:AH28)</f>
        <v>0</v>
      </c>
      <c r="L34" s="34" t="b">
        <f t="shared" si="3"/>
        <v>0</v>
      </c>
    </row>
    <row r="35" spans="2:14" x14ac:dyDescent="0.25">
      <c r="B35" s="107" t="str">
        <f>IF(ISBLANK(Prestations!B29),"",Prestations!B29)</f>
        <v/>
      </c>
      <c r="C35" s="158" t="str">
        <f>Prestations!C29</f>
        <v/>
      </c>
      <c r="D35" s="159"/>
      <c r="E35" s="108" t="str">
        <f>IF(L35,SUM(Prestations!D29:AH29),"")</f>
        <v/>
      </c>
      <c r="F35" s="116" t="str">
        <f t="shared" si="1"/>
        <v/>
      </c>
      <c r="G35" s="109" t="str">
        <f t="shared" si="2"/>
        <v/>
      </c>
      <c r="K35" s="34">
        <f>SUM(Prestations!D29:AH29)</f>
        <v>0</v>
      </c>
      <c r="L35" s="34" t="b">
        <f t="shared" si="3"/>
        <v>0</v>
      </c>
    </row>
    <row r="36" spans="2:14" x14ac:dyDescent="0.25">
      <c r="B36" s="107" t="str">
        <f>IF(ISBLANK(Prestations!B30),"",Prestations!B30)</f>
        <v/>
      </c>
      <c r="C36" s="158" t="str">
        <f>Prestations!C30</f>
        <v/>
      </c>
      <c r="D36" s="159"/>
      <c r="E36" s="108" t="str">
        <f>IF(L36,SUM(Prestations!D30:AH30),"")</f>
        <v/>
      </c>
      <c r="F36" s="116" t="str">
        <f t="shared" si="1"/>
        <v/>
      </c>
      <c r="G36" s="109" t="str">
        <f t="shared" si="2"/>
        <v/>
      </c>
      <c r="K36" s="34">
        <f>SUM(Prestations!D30:AH30)</f>
        <v>0</v>
      </c>
      <c r="L36" s="34" t="b">
        <f t="shared" si="3"/>
        <v>0</v>
      </c>
    </row>
    <row r="37" spans="2:14" x14ac:dyDescent="0.25">
      <c r="B37" s="107" t="str">
        <f>IF(ISBLANK(Prestations!B31),"",Prestations!B31)</f>
        <v/>
      </c>
      <c r="C37" s="158" t="str">
        <f>Prestations!C31</f>
        <v/>
      </c>
      <c r="D37" s="159"/>
      <c r="E37" s="108" t="str">
        <f>IF(L37,SUM(Prestations!D31:AH31),"")</f>
        <v/>
      </c>
      <c r="F37" s="116" t="str">
        <f t="shared" si="1"/>
        <v/>
      </c>
      <c r="G37" s="109" t="str">
        <f t="shared" si="2"/>
        <v/>
      </c>
      <c r="K37" s="34">
        <f>SUM(Prestations!D31:AH31)</f>
        <v>0</v>
      </c>
      <c r="L37" s="34" t="b">
        <f t="shared" si="3"/>
        <v>0</v>
      </c>
    </row>
    <row r="38" spans="2:14" x14ac:dyDescent="0.25">
      <c r="B38" s="107" t="str">
        <f>IF(ISBLANK(Prestations!B32),"",Prestations!B32)</f>
        <v/>
      </c>
      <c r="C38" s="158" t="str">
        <f>Prestations!C32</f>
        <v/>
      </c>
      <c r="D38" s="159"/>
      <c r="E38" s="108" t="str">
        <f>IF(L38,SUM(Prestations!D32:AH32),"")</f>
        <v/>
      </c>
      <c r="F38" s="116" t="str">
        <f t="shared" si="1"/>
        <v/>
      </c>
      <c r="G38" s="109" t="str">
        <f t="shared" si="2"/>
        <v/>
      </c>
      <c r="K38" s="34">
        <f>SUM(Prestations!D32:AH32)</f>
        <v>0</v>
      </c>
      <c r="L38" s="34" t="b">
        <f t="shared" si="3"/>
        <v>0</v>
      </c>
    </row>
    <row r="39" spans="2:14" x14ac:dyDescent="0.25">
      <c r="B39" s="107" t="str">
        <f>IF(ISBLANK(Prestations!B33),"",Prestations!B33)</f>
        <v/>
      </c>
      <c r="C39" s="158" t="str">
        <f>Prestations!C33</f>
        <v/>
      </c>
      <c r="D39" s="159"/>
      <c r="E39" s="108" t="str">
        <f>IF(L39,SUM(Prestations!D33:AH33),"")</f>
        <v/>
      </c>
      <c r="F39" s="116" t="str">
        <f t="shared" si="1"/>
        <v/>
      </c>
      <c r="G39" s="109" t="str">
        <f t="shared" si="2"/>
        <v/>
      </c>
      <c r="K39" s="34">
        <f>SUM(Prestations!D33:AH33)</f>
        <v>0</v>
      </c>
      <c r="L39" s="34" t="b">
        <f t="shared" si="3"/>
        <v>0</v>
      </c>
      <c r="N39" s="34" t="s">
        <v>40</v>
      </c>
    </row>
    <row r="40" spans="2:14" x14ac:dyDescent="0.25">
      <c r="B40" s="107" t="str">
        <f>IF(ISBLANK(Prestations!B34),"",Prestations!B34)</f>
        <v/>
      </c>
      <c r="C40" s="158" t="str">
        <f>Prestations!C34</f>
        <v/>
      </c>
      <c r="D40" s="159"/>
      <c r="E40" s="108" t="str">
        <f>IF(L40,SUM(Prestations!D34:AH34),"")</f>
        <v/>
      </c>
      <c r="F40" s="116" t="str">
        <f t="shared" si="1"/>
        <v/>
      </c>
      <c r="G40" s="109" t="str">
        <f t="shared" si="2"/>
        <v/>
      </c>
      <c r="K40" s="34">
        <f>SUM(Prestations!D34:AH34)</f>
        <v>0</v>
      </c>
      <c r="L40" s="34" t="b">
        <f t="shared" si="3"/>
        <v>0</v>
      </c>
    </row>
    <row r="41" spans="2:14" ht="15.75" thickBot="1" x14ac:dyDescent="0.3">
      <c r="B41" s="110" t="str">
        <f>IF(ISBLANK(Prestations!B35),"",Prestations!B35)</f>
        <v/>
      </c>
      <c r="C41" s="160" t="str">
        <f>Prestations!C35</f>
        <v/>
      </c>
      <c r="D41" s="161"/>
      <c r="E41" s="111" t="str">
        <f>IF(L41,SUM(Prestations!D35:AH35),"")</f>
        <v/>
      </c>
      <c r="F41" s="117" t="str">
        <f t="shared" si="1"/>
        <v/>
      </c>
      <c r="G41" s="112" t="str">
        <f t="shared" si="2"/>
        <v/>
      </c>
      <c r="K41" s="34">
        <f>SUM(Prestations!D35:AH35)</f>
        <v>0</v>
      </c>
      <c r="L41" s="34" t="b">
        <f t="shared" si="3"/>
        <v>0</v>
      </c>
    </row>
    <row r="42" spans="2:14" ht="15.75" thickBot="1" x14ac:dyDescent="0.3">
      <c r="B42" s="91"/>
      <c r="C42" s="120" t="s">
        <v>2</v>
      </c>
      <c r="D42" s="162"/>
      <c r="E42" s="75">
        <f>SUM(E12:E41)</f>
        <v>0</v>
      </c>
      <c r="F42" s="118">
        <f>SUM(F12:F41)</f>
        <v>0</v>
      </c>
    </row>
    <row r="43" spans="2:14" ht="16.5" thickBot="1" x14ac:dyDescent="0.3">
      <c r="B43" s="92"/>
      <c r="C43" s="163" t="str">
        <f>"Total à prendre en compte ("&amp;C6&amp;")"</f>
        <v>Total à prendre en compte (Externe)</v>
      </c>
      <c r="D43" s="164"/>
      <c r="E43" s="94">
        <f>SUM(E13:E41)+IF(AND($L$6,E12&lt;&gt;""),E12,0)</f>
        <v>0</v>
      </c>
      <c r="F43" s="119">
        <f>SUM(F13:F41)+IF(AND($L$6,F12&lt;&gt;""),F12,0)</f>
        <v>0</v>
      </c>
    </row>
    <row r="44" spans="2:14" x14ac:dyDescent="0.25"/>
  </sheetData>
  <mergeCells count="33">
    <mergeCell ref="C13:D13"/>
    <mergeCell ref="C14:D14"/>
    <mergeCell ref="C26:D26"/>
    <mergeCell ref="C15:D15"/>
    <mergeCell ref="C16:D16"/>
    <mergeCell ref="C17:D17"/>
    <mergeCell ref="C18:D18"/>
    <mergeCell ref="C19:D19"/>
    <mergeCell ref="C20:D20"/>
    <mergeCell ref="C41:D41"/>
    <mergeCell ref="C42:D42"/>
    <mergeCell ref="C43:D43"/>
    <mergeCell ref="C12:D12"/>
    <mergeCell ref="B2:G2"/>
    <mergeCell ref="C27:D27"/>
    <mergeCell ref="C28:D28"/>
    <mergeCell ref="C29:D29"/>
    <mergeCell ref="C30:D30"/>
    <mergeCell ref="C36:D36"/>
    <mergeCell ref="C39:D39"/>
    <mergeCell ref="C21:D21"/>
    <mergeCell ref="C22:D22"/>
    <mergeCell ref="C23:D23"/>
    <mergeCell ref="C24:D24"/>
    <mergeCell ref="C25:D25"/>
    <mergeCell ref="C37:D37"/>
    <mergeCell ref="C38:D38"/>
    <mergeCell ref="C40:D40"/>
    <mergeCell ref="C31:D31"/>
    <mergeCell ref="C32:D32"/>
    <mergeCell ref="C33:D33"/>
    <mergeCell ref="C34:D34"/>
    <mergeCell ref="C35:D35"/>
  </mergeCells>
  <conditionalFormatting sqref="F12:F43">
    <cfRule type="expression" dxfId="0" priority="1">
      <formula>MOD(F12,1)=0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DC6D-2EDA-461C-BEAD-DF4D797DB69C}">
  <dimension ref="A1:C47"/>
  <sheetViews>
    <sheetView workbookViewId="0">
      <selection activeCell="C12" sqref="C12"/>
    </sheetView>
  </sheetViews>
  <sheetFormatPr defaultRowHeight="15" x14ac:dyDescent="0.25"/>
  <cols>
    <col min="1" max="1" width="12.42578125" bestFit="1" customWidth="1"/>
    <col min="2" max="2" width="54.28515625" bestFit="1" customWidth="1"/>
    <col min="3" max="3" width="93.7109375" customWidth="1"/>
  </cols>
  <sheetData>
    <row r="1" spans="1:3" ht="23.25" x14ac:dyDescent="0.35">
      <c r="A1" s="4" t="s">
        <v>0</v>
      </c>
      <c r="B1" s="4" t="s">
        <v>1</v>
      </c>
    </row>
    <row r="2" spans="1:3" x14ac:dyDescent="0.25">
      <c r="A2" s="98" t="s">
        <v>27</v>
      </c>
      <c r="B2" s="98" t="s">
        <v>28</v>
      </c>
      <c r="C2" s="98" t="s">
        <v>81</v>
      </c>
    </row>
    <row r="3" spans="1:3" x14ac:dyDescent="0.25">
      <c r="A3" t="s">
        <v>104</v>
      </c>
      <c r="B3" t="s">
        <v>105</v>
      </c>
    </row>
    <row r="4" spans="1:3" x14ac:dyDescent="0.25">
      <c r="A4" t="s">
        <v>106</v>
      </c>
      <c r="B4" t="s">
        <v>107</v>
      </c>
    </row>
    <row r="5" spans="1:3" x14ac:dyDescent="0.25">
      <c r="A5" t="s">
        <v>108</v>
      </c>
      <c r="B5" t="s">
        <v>109</v>
      </c>
    </row>
    <row r="6" spans="1:3" x14ac:dyDescent="0.25">
      <c r="A6" t="s">
        <v>128</v>
      </c>
      <c r="B6" t="s">
        <v>129</v>
      </c>
    </row>
    <row r="7" spans="1:3" x14ac:dyDescent="0.25">
      <c r="A7" s="113" t="s">
        <v>110</v>
      </c>
      <c r="B7" s="113" t="s">
        <v>111</v>
      </c>
    </row>
    <row r="8" spans="1:3" x14ac:dyDescent="0.25">
      <c r="A8" s="113" t="s">
        <v>96</v>
      </c>
      <c r="B8" s="113" t="s">
        <v>97</v>
      </c>
    </row>
    <row r="9" spans="1:3" x14ac:dyDescent="0.25">
      <c r="A9" t="s">
        <v>130</v>
      </c>
      <c r="B9" t="s">
        <v>131</v>
      </c>
    </row>
    <row r="10" spans="1:3" x14ac:dyDescent="0.25">
      <c r="A10" s="113" t="s">
        <v>112</v>
      </c>
      <c r="B10" s="113" t="s">
        <v>113</v>
      </c>
    </row>
    <row r="11" spans="1:3" x14ac:dyDescent="0.25">
      <c r="A11" s="113" t="s">
        <v>100</v>
      </c>
      <c r="B11" s="113" t="s">
        <v>101</v>
      </c>
    </row>
    <row r="12" spans="1:3" x14ac:dyDescent="0.25">
      <c r="A12" s="113" t="s">
        <v>42</v>
      </c>
      <c r="B12" s="113" t="s">
        <v>43</v>
      </c>
    </row>
    <row r="13" spans="1:3" x14ac:dyDescent="0.25">
      <c r="A13" s="113" t="s">
        <v>44</v>
      </c>
      <c r="B13" s="113" t="s">
        <v>45</v>
      </c>
    </row>
    <row r="14" spans="1:3" x14ac:dyDescent="0.25">
      <c r="A14" s="113" t="s">
        <v>46</v>
      </c>
      <c r="B14" s="113" t="s">
        <v>47</v>
      </c>
    </row>
    <row r="15" spans="1:3" x14ac:dyDescent="0.25">
      <c r="A15" s="113" t="s">
        <v>48</v>
      </c>
      <c r="B15" s="113" t="s">
        <v>49</v>
      </c>
    </row>
    <row r="16" spans="1:3" x14ac:dyDescent="0.25">
      <c r="A16" s="113" t="s">
        <v>94</v>
      </c>
      <c r="B16" s="113" t="s">
        <v>95</v>
      </c>
    </row>
    <row r="17" spans="1:2" x14ac:dyDescent="0.25">
      <c r="A17" t="s">
        <v>132</v>
      </c>
      <c r="B17" t="s">
        <v>133</v>
      </c>
    </row>
    <row r="18" spans="1:2" x14ac:dyDescent="0.25">
      <c r="A18" t="s">
        <v>134</v>
      </c>
      <c r="B18" t="s">
        <v>135</v>
      </c>
    </row>
    <row r="19" spans="1:2" x14ac:dyDescent="0.25">
      <c r="A19" s="113" t="s">
        <v>74</v>
      </c>
      <c r="B19" s="113" t="s">
        <v>75</v>
      </c>
    </row>
    <row r="20" spans="1:2" x14ac:dyDescent="0.25">
      <c r="A20" s="113" t="s">
        <v>56</v>
      </c>
      <c r="B20" s="113" t="s">
        <v>57</v>
      </c>
    </row>
    <row r="21" spans="1:2" x14ac:dyDescent="0.25">
      <c r="A21" s="113" t="s">
        <v>58</v>
      </c>
      <c r="B21" s="113" t="s">
        <v>59</v>
      </c>
    </row>
    <row r="22" spans="1:2" x14ac:dyDescent="0.25">
      <c r="A22" s="113" t="s">
        <v>52</v>
      </c>
      <c r="B22" s="113" t="s">
        <v>53</v>
      </c>
    </row>
    <row r="23" spans="1:2" x14ac:dyDescent="0.25">
      <c r="A23" s="113" t="s">
        <v>54</v>
      </c>
      <c r="B23" s="113" t="s">
        <v>55</v>
      </c>
    </row>
    <row r="24" spans="1:2" x14ac:dyDescent="0.25">
      <c r="A24" s="113" t="s">
        <v>60</v>
      </c>
      <c r="B24" s="113" t="s">
        <v>61</v>
      </c>
    </row>
    <row r="25" spans="1:2" x14ac:dyDescent="0.25">
      <c r="A25" s="113" t="s">
        <v>79</v>
      </c>
      <c r="B25" s="113" t="s">
        <v>80</v>
      </c>
    </row>
    <row r="26" spans="1:2" x14ac:dyDescent="0.25">
      <c r="A26" s="113" t="s">
        <v>70</v>
      </c>
      <c r="B26" s="113" t="s">
        <v>71</v>
      </c>
    </row>
    <row r="27" spans="1:2" x14ac:dyDescent="0.25">
      <c r="A27" s="113" t="s">
        <v>64</v>
      </c>
      <c r="B27" s="113" t="s">
        <v>65</v>
      </c>
    </row>
    <row r="28" spans="1:2" x14ac:dyDescent="0.25">
      <c r="A28" s="113" t="s">
        <v>99</v>
      </c>
      <c r="B28" s="113" t="s">
        <v>114</v>
      </c>
    </row>
    <row r="29" spans="1:2" x14ac:dyDescent="0.25">
      <c r="A29" t="s">
        <v>136</v>
      </c>
      <c r="B29" t="s">
        <v>137</v>
      </c>
    </row>
    <row r="30" spans="1:2" x14ac:dyDescent="0.25">
      <c r="A30" s="113" t="s">
        <v>72</v>
      </c>
      <c r="B30" s="113" t="s">
        <v>73</v>
      </c>
    </row>
    <row r="31" spans="1:2" x14ac:dyDescent="0.25">
      <c r="A31" s="113" t="s">
        <v>76</v>
      </c>
      <c r="B31" s="113" t="s">
        <v>77</v>
      </c>
    </row>
    <row r="32" spans="1:2" x14ac:dyDescent="0.25">
      <c r="A32" s="113" t="s">
        <v>50</v>
      </c>
      <c r="B32" s="113" t="s">
        <v>51</v>
      </c>
    </row>
    <row r="33" spans="1:2" x14ac:dyDescent="0.25">
      <c r="A33" t="s">
        <v>138</v>
      </c>
      <c r="B33" t="s">
        <v>139</v>
      </c>
    </row>
    <row r="34" spans="1:2" x14ac:dyDescent="0.25">
      <c r="A34" s="113" t="s">
        <v>115</v>
      </c>
      <c r="B34" s="113" t="s">
        <v>115</v>
      </c>
    </row>
    <row r="35" spans="1:2" x14ac:dyDescent="0.25">
      <c r="A35" s="113" t="s">
        <v>98</v>
      </c>
      <c r="B35" s="113" t="s">
        <v>116</v>
      </c>
    </row>
    <row r="36" spans="1:2" x14ac:dyDescent="0.25">
      <c r="A36" s="113" t="s">
        <v>117</v>
      </c>
      <c r="B36" s="113" t="s">
        <v>118</v>
      </c>
    </row>
    <row r="37" spans="1:2" x14ac:dyDescent="0.25">
      <c r="A37" t="s">
        <v>119</v>
      </c>
      <c r="B37" t="s">
        <v>120</v>
      </c>
    </row>
    <row r="38" spans="1:2" x14ac:dyDescent="0.25">
      <c r="A38" t="s">
        <v>140</v>
      </c>
      <c r="B38" t="s">
        <v>141</v>
      </c>
    </row>
    <row r="39" spans="1:2" x14ac:dyDescent="0.25">
      <c r="A39" t="s">
        <v>68</v>
      </c>
      <c r="B39" t="s">
        <v>69</v>
      </c>
    </row>
    <row r="40" spans="1:2" x14ac:dyDescent="0.25">
      <c r="A40" t="s">
        <v>121</v>
      </c>
      <c r="B40" t="s">
        <v>122</v>
      </c>
    </row>
    <row r="41" spans="1:2" x14ac:dyDescent="0.25">
      <c r="A41" t="s">
        <v>62</v>
      </c>
      <c r="B41" t="s">
        <v>63</v>
      </c>
    </row>
    <row r="42" spans="1:2" x14ac:dyDescent="0.25">
      <c r="A42" t="s">
        <v>78</v>
      </c>
      <c r="B42" t="s">
        <v>127</v>
      </c>
    </row>
    <row r="43" spans="1:2" x14ac:dyDescent="0.25">
      <c r="A43" t="s">
        <v>123</v>
      </c>
      <c r="B43" t="s">
        <v>124</v>
      </c>
    </row>
    <row r="44" spans="1:2" x14ac:dyDescent="0.25">
      <c r="A44" t="s">
        <v>142</v>
      </c>
      <c r="B44" t="s">
        <v>143</v>
      </c>
    </row>
    <row r="45" spans="1:2" x14ac:dyDescent="0.25">
      <c r="A45" t="s">
        <v>125</v>
      </c>
      <c r="B45" t="s">
        <v>66</v>
      </c>
    </row>
    <row r="46" spans="1:2" x14ac:dyDescent="0.25">
      <c r="A46" t="s">
        <v>67</v>
      </c>
      <c r="B46" t="s">
        <v>126</v>
      </c>
    </row>
    <row r="47" spans="1:2" x14ac:dyDescent="0.25">
      <c r="A47" t="s">
        <v>102</v>
      </c>
      <c r="B47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Configuration</vt:lpstr>
      <vt:lpstr>Prestations</vt:lpstr>
      <vt:lpstr>Résumé imprimable</vt:lpstr>
      <vt:lpstr>Reporting</vt:lpstr>
      <vt:lpstr>Codes projet</vt:lpstr>
      <vt:lpstr>'Résumé imprimable'!Print_Area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DEBOIS Eric</dc:creator>
  <cp:lastModifiedBy>DELCOIGNE Vincent</cp:lastModifiedBy>
  <cp:lastPrinted>2020-04-24T05:51:07Z</cp:lastPrinted>
  <dcterms:created xsi:type="dcterms:W3CDTF">2020-01-31T09:01:35Z</dcterms:created>
  <dcterms:modified xsi:type="dcterms:W3CDTF">2024-02-02T10:29:46Z</dcterms:modified>
</cp:coreProperties>
</file>